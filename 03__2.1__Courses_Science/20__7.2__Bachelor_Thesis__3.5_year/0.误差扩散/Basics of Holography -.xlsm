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F:\tools\Zotero\storage\QIHK926S\"/>
    </mc:Choice>
  </mc:AlternateContent>
  <xr:revisionPtr revIDLastSave="0" documentId="13_ncr:1_{589CA491-2018-4356-9859-AACD3DE30C84}" xr6:coauthVersionLast="45" xr6:coauthVersionMax="45" xr10:uidLastSave="{00000000-0000-0000-0000-000000000000}"/>
  <bookViews>
    <workbookView xWindow="-120" yWindow="375" windowWidth="29040" windowHeight="15345" activeTab="1" xr2:uid="{00000000-000D-0000-FFFF-FFFF00000000}"/>
  </bookViews>
  <sheets>
    <sheet name="Basics of Holography" sheetId="1" r:id="rId1"/>
    <sheet name="Introduction to Modern Digital 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3" i="2" l="1"/>
  <c r="AT3" i="2" s="1"/>
  <c r="AT2" i="2"/>
  <c r="B46" i="2"/>
  <c r="B27" i="2" s="1"/>
  <c r="C46" i="2"/>
  <c r="C27" i="2" s="1"/>
  <c r="D46" i="2"/>
  <c r="D27" i="2" s="1"/>
  <c r="E46" i="2"/>
  <c r="E27" i="2" s="1"/>
  <c r="F46" i="2"/>
  <c r="F27" i="2" s="1"/>
  <c r="G46" i="2"/>
  <c r="G27" i="2" s="1"/>
  <c r="H46" i="2"/>
  <c r="H27" i="2" s="1"/>
  <c r="I46" i="2"/>
  <c r="I27" i="2" s="1"/>
  <c r="J46" i="2"/>
  <c r="J27" i="2" s="1"/>
  <c r="K46" i="2"/>
  <c r="K27" i="2" s="1"/>
  <c r="L46" i="2"/>
  <c r="L27" i="2" s="1"/>
  <c r="M46" i="2"/>
  <c r="M27" i="2" s="1"/>
  <c r="N46" i="2"/>
  <c r="N27" i="2" s="1"/>
  <c r="O46" i="2"/>
  <c r="O27" i="2" s="1"/>
  <c r="P46" i="2"/>
  <c r="P27" i="2" s="1"/>
  <c r="Q46" i="2"/>
  <c r="Q27" i="2" s="1"/>
  <c r="B47" i="2"/>
  <c r="B28" i="2" s="1"/>
  <c r="C47" i="2"/>
  <c r="C28" i="2" s="1"/>
  <c r="D47" i="2"/>
  <c r="D28" i="2" s="1"/>
  <c r="E47" i="2"/>
  <c r="E28" i="2" s="1"/>
  <c r="F47" i="2"/>
  <c r="F28" i="2" s="1"/>
  <c r="G47" i="2"/>
  <c r="G28" i="2" s="1"/>
  <c r="H47" i="2"/>
  <c r="H28" i="2" s="1"/>
  <c r="I47" i="2"/>
  <c r="I28" i="2" s="1"/>
  <c r="J47" i="2"/>
  <c r="J28" i="2" s="1"/>
  <c r="K47" i="2"/>
  <c r="K28" i="2" s="1"/>
  <c r="L47" i="2"/>
  <c r="L28" i="2" s="1"/>
  <c r="M47" i="2"/>
  <c r="M28" i="2" s="1"/>
  <c r="N47" i="2"/>
  <c r="N28" i="2" s="1"/>
  <c r="O47" i="2"/>
  <c r="O28" i="2" s="1"/>
  <c r="P47" i="2"/>
  <c r="P28" i="2" s="1"/>
  <c r="Q47" i="2"/>
  <c r="Q28" i="2" s="1"/>
  <c r="B48" i="2"/>
  <c r="B29" i="2" s="1"/>
  <c r="C48" i="2"/>
  <c r="C29" i="2" s="1"/>
  <c r="D48" i="2"/>
  <c r="D29" i="2" s="1"/>
  <c r="E48" i="2"/>
  <c r="E29" i="2" s="1"/>
  <c r="F48" i="2"/>
  <c r="F29" i="2" s="1"/>
  <c r="G48" i="2"/>
  <c r="G29" i="2" s="1"/>
  <c r="H48" i="2"/>
  <c r="H29" i="2" s="1"/>
  <c r="I48" i="2"/>
  <c r="I29" i="2" s="1"/>
  <c r="J48" i="2"/>
  <c r="J29" i="2" s="1"/>
  <c r="K48" i="2"/>
  <c r="K29" i="2" s="1"/>
  <c r="L48" i="2"/>
  <c r="L29" i="2" s="1"/>
  <c r="M48" i="2"/>
  <c r="M29" i="2" s="1"/>
  <c r="N48" i="2"/>
  <c r="N29" i="2" s="1"/>
  <c r="O48" i="2"/>
  <c r="O29" i="2" s="1"/>
  <c r="P48" i="2"/>
  <c r="P29" i="2" s="1"/>
  <c r="Q48" i="2"/>
  <c r="Q29" i="2" s="1"/>
  <c r="B49" i="2"/>
  <c r="B30" i="2" s="1"/>
  <c r="C49" i="2"/>
  <c r="C30" i="2" s="1"/>
  <c r="D49" i="2"/>
  <c r="D30" i="2" s="1"/>
  <c r="E49" i="2"/>
  <c r="E30" i="2" s="1"/>
  <c r="F49" i="2"/>
  <c r="F30" i="2" s="1"/>
  <c r="G49" i="2"/>
  <c r="G30" i="2" s="1"/>
  <c r="H49" i="2"/>
  <c r="H30" i="2" s="1"/>
  <c r="I49" i="2"/>
  <c r="I30" i="2" s="1"/>
  <c r="J49" i="2"/>
  <c r="J30" i="2" s="1"/>
  <c r="K49" i="2"/>
  <c r="K30" i="2" s="1"/>
  <c r="L49" i="2"/>
  <c r="L30" i="2" s="1"/>
  <c r="M49" i="2"/>
  <c r="M30" i="2" s="1"/>
  <c r="N49" i="2"/>
  <c r="N30" i="2" s="1"/>
  <c r="O49" i="2"/>
  <c r="O30" i="2" s="1"/>
  <c r="P49" i="2"/>
  <c r="P30" i="2" s="1"/>
  <c r="Q49" i="2"/>
  <c r="Q30" i="2" s="1"/>
  <c r="B50" i="2"/>
  <c r="B31" i="2" s="1"/>
  <c r="C50" i="2"/>
  <c r="C31" i="2" s="1"/>
  <c r="D50" i="2"/>
  <c r="D31" i="2" s="1"/>
  <c r="E50" i="2"/>
  <c r="E31" i="2" s="1"/>
  <c r="F50" i="2"/>
  <c r="F31" i="2" s="1"/>
  <c r="G50" i="2"/>
  <c r="G31" i="2" s="1"/>
  <c r="H50" i="2"/>
  <c r="H31" i="2" s="1"/>
  <c r="I50" i="2"/>
  <c r="I31" i="2" s="1"/>
  <c r="J50" i="2"/>
  <c r="J31" i="2" s="1"/>
  <c r="K50" i="2"/>
  <c r="K31" i="2" s="1"/>
  <c r="L50" i="2"/>
  <c r="L31" i="2" s="1"/>
  <c r="M50" i="2"/>
  <c r="M31" i="2" s="1"/>
  <c r="N50" i="2"/>
  <c r="N31" i="2" s="1"/>
  <c r="O50" i="2"/>
  <c r="O31" i="2" s="1"/>
  <c r="P50" i="2"/>
  <c r="P31" i="2" s="1"/>
  <c r="Q50" i="2"/>
  <c r="Q31" i="2" s="1"/>
  <c r="B51" i="2"/>
  <c r="B32" i="2" s="1"/>
  <c r="C51" i="2"/>
  <c r="C32" i="2" s="1"/>
  <c r="D51" i="2"/>
  <c r="D32" i="2" s="1"/>
  <c r="E51" i="2"/>
  <c r="E32" i="2" s="1"/>
  <c r="F51" i="2"/>
  <c r="F32" i="2" s="1"/>
  <c r="G51" i="2"/>
  <c r="G32" i="2" s="1"/>
  <c r="H51" i="2"/>
  <c r="H32" i="2" s="1"/>
  <c r="I51" i="2"/>
  <c r="I32" i="2" s="1"/>
  <c r="J51" i="2"/>
  <c r="J32" i="2" s="1"/>
  <c r="K51" i="2"/>
  <c r="K32" i="2" s="1"/>
  <c r="L51" i="2"/>
  <c r="L32" i="2" s="1"/>
  <c r="M51" i="2"/>
  <c r="M32" i="2" s="1"/>
  <c r="N51" i="2"/>
  <c r="N32" i="2" s="1"/>
  <c r="O51" i="2"/>
  <c r="O32" i="2" s="1"/>
  <c r="P51" i="2"/>
  <c r="P32" i="2" s="1"/>
  <c r="Q51" i="2"/>
  <c r="Q32" i="2" s="1"/>
  <c r="B52" i="2"/>
  <c r="B33" i="2" s="1"/>
  <c r="C52" i="2"/>
  <c r="C33" i="2" s="1"/>
  <c r="D52" i="2"/>
  <c r="D33" i="2" s="1"/>
  <c r="E52" i="2"/>
  <c r="E33" i="2" s="1"/>
  <c r="F52" i="2"/>
  <c r="F33" i="2" s="1"/>
  <c r="G52" i="2"/>
  <c r="G33" i="2" s="1"/>
  <c r="H52" i="2"/>
  <c r="H33" i="2" s="1"/>
  <c r="I52" i="2"/>
  <c r="I33" i="2" s="1"/>
  <c r="J52" i="2"/>
  <c r="J33" i="2" s="1"/>
  <c r="K52" i="2"/>
  <c r="K33" i="2" s="1"/>
  <c r="L52" i="2"/>
  <c r="L33" i="2" s="1"/>
  <c r="M52" i="2"/>
  <c r="M33" i="2" s="1"/>
  <c r="N52" i="2"/>
  <c r="N33" i="2" s="1"/>
  <c r="O52" i="2"/>
  <c r="O33" i="2" s="1"/>
  <c r="P52" i="2"/>
  <c r="P33" i="2" s="1"/>
  <c r="Q52" i="2"/>
  <c r="Q33" i="2" s="1"/>
  <c r="B53" i="2"/>
  <c r="B34" i="2" s="1"/>
  <c r="C53" i="2"/>
  <c r="C34" i="2" s="1"/>
  <c r="D53" i="2"/>
  <c r="D34" i="2" s="1"/>
  <c r="E53" i="2"/>
  <c r="E34" i="2" s="1"/>
  <c r="F53" i="2"/>
  <c r="F34" i="2" s="1"/>
  <c r="G53" i="2"/>
  <c r="G34" i="2" s="1"/>
  <c r="H53" i="2"/>
  <c r="H34" i="2" s="1"/>
  <c r="I53" i="2"/>
  <c r="I34" i="2" s="1"/>
  <c r="J53" i="2"/>
  <c r="J34" i="2" s="1"/>
  <c r="K53" i="2"/>
  <c r="K34" i="2" s="1"/>
  <c r="L53" i="2"/>
  <c r="L34" i="2" s="1"/>
  <c r="M53" i="2"/>
  <c r="M34" i="2" s="1"/>
  <c r="N53" i="2"/>
  <c r="N34" i="2" s="1"/>
  <c r="O53" i="2"/>
  <c r="O34" i="2" s="1"/>
  <c r="P53" i="2"/>
  <c r="P34" i="2" s="1"/>
  <c r="Q53" i="2"/>
  <c r="Q34" i="2" s="1"/>
  <c r="B54" i="2"/>
  <c r="B35" i="2" s="1"/>
  <c r="C54" i="2"/>
  <c r="C35" i="2" s="1"/>
  <c r="D54" i="2"/>
  <c r="D35" i="2" s="1"/>
  <c r="E54" i="2"/>
  <c r="E35" i="2" s="1"/>
  <c r="F54" i="2"/>
  <c r="F35" i="2" s="1"/>
  <c r="G54" i="2"/>
  <c r="G35" i="2" s="1"/>
  <c r="H54" i="2"/>
  <c r="H35" i="2" s="1"/>
  <c r="I54" i="2"/>
  <c r="I35" i="2" s="1"/>
  <c r="J54" i="2"/>
  <c r="J35" i="2" s="1"/>
  <c r="K54" i="2"/>
  <c r="K35" i="2" s="1"/>
  <c r="L54" i="2"/>
  <c r="L35" i="2" s="1"/>
  <c r="M54" i="2"/>
  <c r="M35" i="2" s="1"/>
  <c r="N54" i="2"/>
  <c r="N35" i="2" s="1"/>
  <c r="O54" i="2"/>
  <c r="O35" i="2" s="1"/>
  <c r="P54" i="2"/>
  <c r="P35" i="2" s="1"/>
  <c r="Q54" i="2"/>
  <c r="Q35" i="2" s="1"/>
  <c r="B55" i="2"/>
  <c r="B36" i="2" s="1"/>
  <c r="C55" i="2"/>
  <c r="C36" i="2" s="1"/>
  <c r="D55" i="2"/>
  <c r="D36" i="2" s="1"/>
  <c r="E55" i="2"/>
  <c r="E36" i="2" s="1"/>
  <c r="F55" i="2"/>
  <c r="F36" i="2" s="1"/>
  <c r="G55" i="2"/>
  <c r="G36" i="2" s="1"/>
  <c r="H55" i="2"/>
  <c r="H36" i="2" s="1"/>
  <c r="I55" i="2"/>
  <c r="I36" i="2" s="1"/>
  <c r="J55" i="2"/>
  <c r="J36" i="2" s="1"/>
  <c r="K55" i="2"/>
  <c r="K36" i="2" s="1"/>
  <c r="L55" i="2"/>
  <c r="L36" i="2" s="1"/>
  <c r="M55" i="2"/>
  <c r="M36" i="2" s="1"/>
  <c r="N55" i="2"/>
  <c r="N36" i="2" s="1"/>
  <c r="O55" i="2"/>
  <c r="O36" i="2" s="1"/>
  <c r="P55" i="2"/>
  <c r="P36" i="2" s="1"/>
  <c r="Q55" i="2"/>
  <c r="Q36" i="2" s="1"/>
  <c r="B56" i="2"/>
  <c r="B37" i="2" s="1"/>
  <c r="C56" i="2"/>
  <c r="C37" i="2" s="1"/>
  <c r="D56" i="2"/>
  <c r="D37" i="2" s="1"/>
  <c r="E56" i="2"/>
  <c r="E37" i="2" s="1"/>
  <c r="F56" i="2"/>
  <c r="F37" i="2" s="1"/>
  <c r="G56" i="2"/>
  <c r="G37" i="2" s="1"/>
  <c r="H56" i="2"/>
  <c r="H37" i="2" s="1"/>
  <c r="I56" i="2"/>
  <c r="I37" i="2" s="1"/>
  <c r="J56" i="2"/>
  <c r="J37" i="2" s="1"/>
  <c r="K56" i="2"/>
  <c r="K37" i="2" s="1"/>
  <c r="L56" i="2"/>
  <c r="L37" i="2" s="1"/>
  <c r="M56" i="2"/>
  <c r="M37" i="2" s="1"/>
  <c r="N56" i="2"/>
  <c r="N37" i="2" s="1"/>
  <c r="O56" i="2"/>
  <c r="O37" i="2" s="1"/>
  <c r="P56" i="2"/>
  <c r="P37" i="2" s="1"/>
  <c r="Q56" i="2"/>
  <c r="Q37" i="2" s="1"/>
  <c r="B57" i="2"/>
  <c r="B38" i="2" s="1"/>
  <c r="C57" i="2"/>
  <c r="C38" i="2" s="1"/>
  <c r="D57" i="2"/>
  <c r="D38" i="2" s="1"/>
  <c r="E57" i="2"/>
  <c r="E38" i="2" s="1"/>
  <c r="F57" i="2"/>
  <c r="F38" i="2" s="1"/>
  <c r="G57" i="2"/>
  <c r="G38" i="2" s="1"/>
  <c r="H57" i="2"/>
  <c r="H38" i="2" s="1"/>
  <c r="I57" i="2"/>
  <c r="I38" i="2" s="1"/>
  <c r="J57" i="2"/>
  <c r="J38" i="2" s="1"/>
  <c r="K57" i="2"/>
  <c r="K38" i="2" s="1"/>
  <c r="L57" i="2"/>
  <c r="L38" i="2" s="1"/>
  <c r="M57" i="2"/>
  <c r="M38" i="2" s="1"/>
  <c r="N57" i="2"/>
  <c r="N38" i="2" s="1"/>
  <c r="O57" i="2"/>
  <c r="O38" i="2" s="1"/>
  <c r="P57" i="2"/>
  <c r="P38" i="2" s="1"/>
  <c r="Q57" i="2"/>
  <c r="Q38" i="2" s="1"/>
  <c r="B58" i="2"/>
  <c r="B39" i="2" s="1"/>
  <c r="C58" i="2"/>
  <c r="C39" i="2" s="1"/>
  <c r="D58" i="2"/>
  <c r="D39" i="2" s="1"/>
  <c r="E58" i="2"/>
  <c r="E39" i="2" s="1"/>
  <c r="F58" i="2"/>
  <c r="F39" i="2" s="1"/>
  <c r="G58" i="2"/>
  <c r="G39" i="2" s="1"/>
  <c r="H58" i="2"/>
  <c r="H39" i="2" s="1"/>
  <c r="I58" i="2"/>
  <c r="I39" i="2" s="1"/>
  <c r="J58" i="2"/>
  <c r="J39" i="2" s="1"/>
  <c r="K58" i="2"/>
  <c r="K39" i="2" s="1"/>
  <c r="L58" i="2"/>
  <c r="L39" i="2" s="1"/>
  <c r="M58" i="2"/>
  <c r="M39" i="2" s="1"/>
  <c r="N58" i="2"/>
  <c r="N39" i="2" s="1"/>
  <c r="O58" i="2"/>
  <c r="O39" i="2" s="1"/>
  <c r="P58" i="2"/>
  <c r="P39" i="2" s="1"/>
  <c r="Q58" i="2"/>
  <c r="Q39" i="2" s="1"/>
  <c r="B59" i="2"/>
  <c r="B40" i="2" s="1"/>
  <c r="C59" i="2"/>
  <c r="C40" i="2" s="1"/>
  <c r="D59" i="2"/>
  <c r="D40" i="2" s="1"/>
  <c r="E59" i="2"/>
  <c r="E40" i="2" s="1"/>
  <c r="F59" i="2"/>
  <c r="F40" i="2" s="1"/>
  <c r="G59" i="2"/>
  <c r="G40" i="2" s="1"/>
  <c r="H59" i="2"/>
  <c r="H40" i="2" s="1"/>
  <c r="I59" i="2"/>
  <c r="I40" i="2" s="1"/>
  <c r="J59" i="2"/>
  <c r="J40" i="2" s="1"/>
  <c r="K59" i="2"/>
  <c r="K40" i="2" s="1"/>
  <c r="L59" i="2"/>
  <c r="L40" i="2" s="1"/>
  <c r="M59" i="2"/>
  <c r="M40" i="2" s="1"/>
  <c r="N59" i="2"/>
  <c r="N40" i="2" s="1"/>
  <c r="O59" i="2"/>
  <c r="O40" i="2" s="1"/>
  <c r="P59" i="2"/>
  <c r="P40" i="2" s="1"/>
  <c r="Q59" i="2"/>
  <c r="Q40" i="2" s="1"/>
  <c r="B60" i="2"/>
  <c r="B41" i="2" s="1"/>
  <c r="C60" i="2"/>
  <c r="C41" i="2" s="1"/>
  <c r="D60" i="2"/>
  <c r="D41" i="2" s="1"/>
  <c r="E60" i="2"/>
  <c r="E41" i="2" s="1"/>
  <c r="F60" i="2"/>
  <c r="F41" i="2" s="1"/>
  <c r="G60" i="2"/>
  <c r="G41" i="2" s="1"/>
  <c r="H60" i="2"/>
  <c r="H41" i="2" s="1"/>
  <c r="I60" i="2"/>
  <c r="I41" i="2" s="1"/>
  <c r="J60" i="2"/>
  <c r="J41" i="2" s="1"/>
  <c r="K60" i="2"/>
  <c r="K41" i="2" s="1"/>
  <c r="L60" i="2"/>
  <c r="L41" i="2" s="1"/>
  <c r="M60" i="2"/>
  <c r="M41" i="2" s="1"/>
  <c r="N60" i="2"/>
  <c r="N41" i="2" s="1"/>
  <c r="O60" i="2"/>
  <c r="O41" i="2" s="1"/>
  <c r="P60" i="2"/>
  <c r="P41" i="2" s="1"/>
  <c r="Q60" i="2"/>
  <c r="Q41" i="2" s="1"/>
  <c r="C45" i="2"/>
  <c r="C26" i="2" s="1"/>
  <c r="C7" i="2" s="1"/>
  <c r="D45" i="2"/>
  <c r="D26" i="2" s="1"/>
  <c r="E45" i="2"/>
  <c r="E26" i="2" s="1"/>
  <c r="E7" i="2" s="1"/>
  <c r="F45" i="2"/>
  <c r="F26" i="2" s="1"/>
  <c r="G45" i="2"/>
  <c r="G26" i="2" s="1"/>
  <c r="H45" i="2"/>
  <c r="H26" i="2" s="1"/>
  <c r="I45" i="2"/>
  <c r="I26" i="2" s="1"/>
  <c r="J45" i="2"/>
  <c r="J26" i="2" s="1"/>
  <c r="K45" i="2"/>
  <c r="K26" i="2" s="1"/>
  <c r="L45" i="2"/>
  <c r="L26" i="2" s="1"/>
  <c r="M45" i="2"/>
  <c r="M26" i="2" s="1"/>
  <c r="N45" i="2"/>
  <c r="N26" i="2" s="1"/>
  <c r="O45" i="2"/>
  <c r="O26" i="2" s="1"/>
  <c r="P45" i="2"/>
  <c r="P26" i="2" s="1"/>
  <c r="Q45" i="2"/>
  <c r="Q26" i="2" s="1"/>
  <c r="B45" i="2"/>
  <c r="B26" i="2" s="1"/>
  <c r="B7" i="2" s="1"/>
  <c r="S7" i="2"/>
  <c r="T7" i="2" s="1"/>
  <c r="AS3" i="2" l="1"/>
  <c r="AN7" i="2"/>
  <c r="W7" i="2" s="1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D7" i="2"/>
  <c r="F7" i="2"/>
  <c r="G7" i="2"/>
  <c r="H7" i="2"/>
  <c r="I7" i="2"/>
  <c r="J7" i="2"/>
  <c r="K7" i="2"/>
  <c r="L7" i="2"/>
  <c r="M7" i="2"/>
  <c r="N7" i="2"/>
  <c r="O7" i="2"/>
  <c r="P7" i="2"/>
  <c r="Q7" i="2"/>
  <c r="AN8" i="2" l="1"/>
  <c r="AO7" i="2"/>
  <c r="AO8" i="2" l="1"/>
  <c r="AN9" i="2"/>
  <c r="X7" i="2"/>
  <c r="AP7" i="2"/>
  <c r="AQ7" i="2" s="1"/>
  <c r="AR7" i="2" s="1"/>
  <c r="AS7" i="2" s="1"/>
  <c r="AT7" i="2" s="1"/>
  <c r="AU7" i="2" s="1"/>
  <c r="AV7" i="2" s="1"/>
  <c r="AW7" i="2" s="1"/>
  <c r="AX7" i="2" s="1"/>
  <c r="AY7" i="2" s="1"/>
  <c r="AZ7" i="2" s="1"/>
  <c r="BA7" i="2" s="1"/>
  <c r="BB7" i="2" s="1"/>
  <c r="BC7" i="2" s="1"/>
  <c r="W8" i="2"/>
  <c r="AO9" i="2" l="1"/>
  <c r="X9" i="2" s="1"/>
  <c r="X8" i="2"/>
  <c r="AP8" i="2"/>
  <c r="AQ8" i="2" s="1"/>
  <c r="AR8" i="2" s="1"/>
  <c r="AS8" i="2" s="1"/>
  <c r="AT8" i="2" s="1"/>
  <c r="AU8" i="2" s="1"/>
  <c r="AV8" i="2" s="1"/>
  <c r="AW8" i="2" s="1"/>
  <c r="AX8" i="2" s="1"/>
  <c r="AY8" i="2" s="1"/>
  <c r="AZ8" i="2" s="1"/>
  <c r="BA8" i="2" s="1"/>
  <c r="BB8" i="2" s="1"/>
  <c r="BC8" i="2" s="1"/>
  <c r="AN10" i="2"/>
  <c r="W9" i="2"/>
  <c r="Y7" i="2"/>
  <c r="W10" i="2" l="1"/>
  <c r="AO10" i="2"/>
  <c r="AP9" i="2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BC9" i="2" s="1"/>
  <c r="AN11" i="2"/>
  <c r="Z8" i="2"/>
  <c r="Y8" i="2"/>
  <c r="Z7" i="2"/>
  <c r="AP10" i="2" l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W11" i="2"/>
  <c r="AO11" i="2"/>
  <c r="AN12" i="2"/>
  <c r="X10" i="2"/>
  <c r="AA8" i="2"/>
  <c r="Y9" i="2"/>
  <c r="AA7" i="2"/>
  <c r="AP11" i="2" l="1"/>
  <c r="AQ11" i="2" s="1"/>
  <c r="AR11" i="2" s="1"/>
  <c r="AS11" i="2" s="1"/>
  <c r="AT11" i="2" s="1"/>
  <c r="AU11" i="2" s="1"/>
  <c r="AV11" i="2" s="1"/>
  <c r="AW11" i="2" s="1"/>
  <c r="AX11" i="2" s="1"/>
  <c r="AY11" i="2" s="1"/>
  <c r="AZ11" i="2" s="1"/>
  <c r="BA11" i="2" s="1"/>
  <c r="BB11" i="2" s="1"/>
  <c r="BC11" i="2" s="1"/>
  <c r="AL11" i="2" s="1"/>
  <c r="X11" i="2"/>
  <c r="W12" i="2"/>
  <c r="AO12" i="2"/>
  <c r="AN13" i="2"/>
  <c r="Y10" i="2"/>
  <c r="AA9" i="2"/>
  <c r="Z9" i="2"/>
  <c r="AB7" i="2"/>
  <c r="AB8" i="2"/>
  <c r="AP12" i="2" l="1"/>
  <c r="AQ12" i="2" s="1"/>
  <c r="AR12" i="2" s="1"/>
  <c r="AS12" i="2" s="1"/>
  <c r="AT12" i="2" s="1"/>
  <c r="AU12" i="2" s="1"/>
  <c r="AV12" i="2" s="1"/>
  <c r="AW12" i="2" s="1"/>
  <c r="AX12" i="2" s="1"/>
  <c r="AY12" i="2" s="1"/>
  <c r="AZ12" i="2" s="1"/>
  <c r="BA12" i="2" s="1"/>
  <c r="BB12" i="2" s="1"/>
  <c r="BC12" i="2" s="1"/>
  <c r="W13" i="2"/>
  <c r="AO13" i="2"/>
  <c r="X12" i="2"/>
  <c r="AN14" i="2"/>
  <c r="Y11" i="2"/>
  <c r="AA10" i="2"/>
  <c r="Z10" i="2"/>
  <c r="AC8" i="2"/>
  <c r="AB9" i="2"/>
  <c r="AC7" i="2"/>
  <c r="AP13" i="2" l="1"/>
  <c r="AQ13" i="2" s="1"/>
  <c r="AR13" i="2" s="1"/>
  <c r="AS13" i="2" s="1"/>
  <c r="AT13" i="2" s="1"/>
  <c r="AU13" i="2" s="1"/>
  <c r="AV13" i="2" s="1"/>
  <c r="AW13" i="2" s="1"/>
  <c r="AX13" i="2" s="1"/>
  <c r="AY13" i="2" s="1"/>
  <c r="AZ13" i="2" s="1"/>
  <c r="BA13" i="2" s="1"/>
  <c r="BB13" i="2" s="1"/>
  <c r="BC13" i="2" s="1"/>
  <c r="W14" i="2"/>
  <c r="AO14" i="2"/>
  <c r="X13" i="2"/>
  <c r="AN15" i="2"/>
  <c r="Y12" i="2"/>
  <c r="AA11" i="2"/>
  <c r="Z11" i="2"/>
  <c r="AD7" i="2"/>
  <c r="AC9" i="2"/>
  <c r="AB10" i="2"/>
  <c r="AD8" i="2"/>
  <c r="AP14" i="2" l="1"/>
  <c r="AQ14" i="2" s="1"/>
  <c r="AR14" i="2" s="1"/>
  <c r="AS14" i="2" s="1"/>
  <c r="AT14" i="2" s="1"/>
  <c r="AU14" i="2" s="1"/>
  <c r="AV14" i="2" s="1"/>
  <c r="AW14" i="2" s="1"/>
  <c r="AX14" i="2" s="1"/>
  <c r="AY14" i="2" s="1"/>
  <c r="AZ14" i="2" s="1"/>
  <c r="BA14" i="2" s="1"/>
  <c r="BB14" i="2" s="1"/>
  <c r="BC14" i="2" s="1"/>
  <c r="AO15" i="2"/>
  <c r="W15" i="2"/>
  <c r="X14" i="2"/>
  <c r="AN16" i="2"/>
  <c r="Y13" i="2"/>
  <c r="AA12" i="2"/>
  <c r="Z12" i="2"/>
  <c r="AD9" i="2"/>
  <c r="AE7" i="2"/>
  <c r="AE8" i="2"/>
  <c r="AB11" i="2"/>
  <c r="AP15" i="2" l="1"/>
  <c r="AQ15" i="2" s="1"/>
  <c r="AR15" i="2" s="1"/>
  <c r="AS15" i="2" s="1"/>
  <c r="AT15" i="2" s="1"/>
  <c r="AU15" i="2" s="1"/>
  <c r="AV15" i="2" s="1"/>
  <c r="AW15" i="2" s="1"/>
  <c r="AX15" i="2" s="1"/>
  <c r="AY15" i="2" s="1"/>
  <c r="AZ15" i="2" s="1"/>
  <c r="BA15" i="2" s="1"/>
  <c r="BB15" i="2" s="1"/>
  <c r="BC15" i="2" s="1"/>
  <c r="W16" i="2"/>
  <c r="AO16" i="2"/>
  <c r="X15" i="2"/>
  <c r="AN17" i="2"/>
  <c r="Y14" i="2"/>
  <c r="AD10" i="2"/>
  <c r="AC10" i="2"/>
  <c r="AE9" i="2"/>
  <c r="AA13" i="2"/>
  <c r="Z13" i="2"/>
  <c r="AB12" i="2"/>
  <c r="AF7" i="2"/>
  <c r="AP16" i="2" l="1"/>
  <c r="AQ16" i="2" s="1"/>
  <c r="AR16" i="2" s="1"/>
  <c r="AS16" i="2" s="1"/>
  <c r="AT16" i="2" s="1"/>
  <c r="AU16" i="2" s="1"/>
  <c r="AV16" i="2" s="1"/>
  <c r="AW16" i="2" s="1"/>
  <c r="AX16" i="2" s="1"/>
  <c r="AY16" i="2" s="1"/>
  <c r="AZ16" i="2" s="1"/>
  <c r="BA16" i="2" s="1"/>
  <c r="BB16" i="2" s="1"/>
  <c r="BC16" i="2" s="1"/>
  <c r="W17" i="2"/>
  <c r="AO17" i="2"/>
  <c r="X16" i="2"/>
  <c r="AN18" i="2"/>
  <c r="AE10" i="2"/>
  <c r="AF9" i="2"/>
  <c r="AF8" i="2"/>
  <c r="AC11" i="2"/>
  <c r="Y15" i="2"/>
  <c r="AA14" i="2"/>
  <c r="Z14" i="2"/>
  <c r="AB13" i="2"/>
  <c r="AG7" i="2"/>
  <c r="AP17" i="2" l="1"/>
  <c r="AQ17" i="2" s="1"/>
  <c r="AR17" i="2" s="1"/>
  <c r="AS17" i="2" s="1"/>
  <c r="AT17" i="2" s="1"/>
  <c r="AU17" i="2" s="1"/>
  <c r="AV17" i="2" s="1"/>
  <c r="AW17" i="2" s="1"/>
  <c r="AX17" i="2" s="1"/>
  <c r="AY17" i="2" s="1"/>
  <c r="AZ17" i="2" s="1"/>
  <c r="BA17" i="2" s="1"/>
  <c r="BB17" i="2" s="1"/>
  <c r="BC17" i="2" s="1"/>
  <c r="AO18" i="2"/>
  <c r="X17" i="2"/>
  <c r="AN19" i="2"/>
  <c r="W18" i="2"/>
  <c r="AF10" i="2"/>
  <c r="AG9" i="2"/>
  <c r="AG8" i="2"/>
  <c r="AC12" i="2"/>
  <c r="AA15" i="2"/>
  <c r="Z15" i="2"/>
  <c r="AE11" i="2"/>
  <c r="AD11" i="2"/>
  <c r="Y16" i="2"/>
  <c r="AH7" i="2"/>
  <c r="AB14" i="2"/>
  <c r="AP18" i="2" l="1"/>
  <c r="AQ18" i="2" s="1"/>
  <c r="AR18" i="2" s="1"/>
  <c r="AS18" i="2" s="1"/>
  <c r="AT18" i="2" s="1"/>
  <c r="AU18" i="2" s="1"/>
  <c r="AV18" i="2" s="1"/>
  <c r="AW18" i="2" s="1"/>
  <c r="AX18" i="2" s="1"/>
  <c r="AY18" i="2" s="1"/>
  <c r="AZ18" i="2" s="1"/>
  <c r="BA18" i="2" s="1"/>
  <c r="BB18" i="2" s="1"/>
  <c r="BC18" i="2" s="1"/>
  <c r="AO19" i="2"/>
  <c r="X18" i="2"/>
  <c r="AN20" i="2"/>
  <c r="W19" i="2"/>
  <c r="AG10" i="2"/>
  <c r="AA16" i="2"/>
  <c r="Z16" i="2"/>
  <c r="AF11" i="2"/>
  <c r="Y17" i="2"/>
  <c r="AI8" i="2"/>
  <c r="AH8" i="2"/>
  <c r="AD12" i="2"/>
  <c r="AC13" i="2"/>
  <c r="AH9" i="2"/>
  <c r="AI7" i="2"/>
  <c r="AB15" i="2"/>
  <c r="AP19" i="2" l="1"/>
  <c r="AQ19" i="2" s="1"/>
  <c r="AR19" i="2" s="1"/>
  <c r="AS19" i="2" s="1"/>
  <c r="AT19" i="2" s="1"/>
  <c r="AU19" i="2" s="1"/>
  <c r="AV19" i="2" s="1"/>
  <c r="AW19" i="2" s="1"/>
  <c r="AX19" i="2" s="1"/>
  <c r="AY19" i="2" s="1"/>
  <c r="AZ19" i="2" s="1"/>
  <c r="BA19" i="2" s="1"/>
  <c r="BB19" i="2" s="1"/>
  <c r="BC19" i="2" s="1"/>
  <c r="AO20" i="2"/>
  <c r="X19" i="2"/>
  <c r="AN21" i="2"/>
  <c r="W20" i="2"/>
  <c r="AG11" i="2"/>
  <c r="AD13" i="2"/>
  <c r="AE12" i="2"/>
  <c r="AA17" i="2"/>
  <c r="Z17" i="2"/>
  <c r="AC14" i="2"/>
  <c r="AJ8" i="2"/>
  <c r="Y18" i="2"/>
  <c r="AB16" i="2"/>
  <c r="AJ7" i="2"/>
  <c r="AH10" i="2"/>
  <c r="AP20" i="2" l="1"/>
  <c r="AQ20" i="2" s="1"/>
  <c r="AR20" i="2" s="1"/>
  <c r="AS20" i="2" s="1"/>
  <c r="AT20" i="2" s="1"/>
  <c r="AU20" i="2" s="1"/>
  <c r="AV20" i="2" s="1"/>
  <c r="AW20" i="2" s="1"/>
  <c r="AX20" i="2" s="1"/>
  <c r="AY20" i="2" s="1"/>
  <c r="AZ20" i="2" s="1"/>
  <c r="BA20" i="2" s="1"/>
  <c r="BB20" i="2" s="1"/>
  <c r="BC20" i="2" s="1"/>
  <c r="AO21" i="2"/>
  <c r="X20" i="2"/>
  <c r="AN22" i="2"/>
  <c r="W21" i="2"/>
  <c r="AD14" i="2"/>
  <c r="AA18" i="2"/>
  <c r="Z18" i="2"/>
  <c r="AF12" i="2"/>
  <c r="AJ9" i="2"/>
  <c r="AI9" i="2"/>
  <c r="AK8" i="2"/>
  <c r="Y19" i="2"/>
  <c r="AC15" i="2"/>
  <c r="AF13" i="2"/>
  <c r="AE13" i="2"/>
  <c r="AL7" i="2"/>
  <c r="AK7" i="2"/>
  <c r="AH11" i="2"/>
  <c r="AB17" i="2"/>
  <c r="AP21" i="2" l="1"/>
  <c r="AQ21" i="2" s="1"/>
  <c r="AR21" i="2" s="1"/>
  <c r="AS21" i="2" s="1"/>
  <c r="AT21" i="2" s="1"/>
  <c r="AU21" i="2" s="1"/>
  <c r="AV21" i="2" s="1"/>
  <c r="AW21" i="2" s="1"/>
  <c r="AX21" i="2" s="1"/>
  <c r="AY21" i="2" s="1"/>
  <c r="AZ21" i="2" s="1"/>
  <c r="BA21" i="2" s="1"/>
  <c r="BB21" i="2" s="1"/>
  <c r="BC21" i="2" s="1"/>
  <c r="AO22" i="2"/>
  <c r="W22" i="2"/>
  <c r="X21" i="2"/>
  <c r="Y20" i="2"/>
  <c r="AA19" i="2"/>
  <c r="Z19" i="2"/>
  <c r="AG13" i="2"/>
  <c r="AG12" i="2"/>
  <c r="AD15" i="2"/>
  <c r="AC16" i="2"/>
  <c r="AI10" i="2"/>
  <c r="AK9" i="2"/>
  <c r="AE14" i="2"/>
  <c r="AB18" i="2"/>
  <c r="AH12" i="2"/>
  <c r="AP22" i="2" l="1"/>
  <c r="AQ22" i="2" s="1"/>
  <c r="AR22" i="2" s="1"/>
  <c r="AS22" i="2" s="1"/>
  <c r="AT22" i="2" s="1"/>
  <c r="AU22" i="2" s="1"/>
  <c r="AV22" i="2" s="1"/>
  <c r="AW22" i="2" s="1"/>
  <c r="AX22" i="2" s="1"/>
  <c r="AY22" i="2" s="1"/>
  <c r="AZ22" i="2" s="1"/>
  <c r="BA22" i="2" s="1"/>
  <c r="BB22" i="2" s="1"/>
  <c r="BC22" i="2" s="1"/>
  <c r="X22" i="2"/>
  <c r="AK10" i="2"/>
  <c r="AJ10" i="2"/>
  <c r="AE15" i="2"/>
  <c r="AI11" i="2"/>
  <c r="Y21" i="2"/>
  <c r="AL8" i="2"/>
  <c r="AF14" i="2"/>
  <c r="AG14" i="2"/>
  <c r="AD16" i="2"/>
  <c r="AC17" i="2"/>
  <c r="AA20" i="2"/>
  <c r="Z20" i="2"/>
  <c r="AH13" i="2"/>
  <c r="AB19" i="2"/>
  <c r="AC18" i="2" l="1"/>
  <c r="AI12" i="2"/>
  <c r="AJ11" i="2"/>
  <c r="Y22" i="2"/>
  <c r="AL10" i="2"/>
  <c r="AL9" i="2"/>
  <c r="AG15" i="2"/>
  <c r="AF15" i="2"/>
  <c r="AE16" i="2"/>
  <c r="AA21" i="2"/>
  <c r="Z21" i="2"/>
  <c r="AD17" i="2"/>
  <c r="AH14" i="2"/>
  <c r="AB20" i="2"/>
  <c r="AA22" i="2" l="1"/>
  <c r="Z22" i="2"/>
  <c r="AE17" i="2"/>
  <c r="AC19" i="2"/>
  <c r="AK11" i="2"/>
  <c r="AI13" i="2"/>
  <c r="AJ12" i="2"/>
  <c r="AG16" i="2"/>
  <c r="AF16" i="2"/>
  <c r="AD18" i="2"/>
  <c r="AB21" i="2"/>
  <c r="AH15" i="2"/>
  <c r="AD19" i="2" l="1"/>
  <c r="AJ13" i="2"/>
  <c r="AC20" i="2"/>
  <c r="AG17" i="2"/>
  <c r="AF17" i="2"/>
  <c r="AE18" i="2"/>
  <c r="AL12" i="2"/>
  <c r="AK12" i="2"/>
  <c r="AI14" i="2"/>
  <c r="AH16" i="2"/>
  <c r="AB22" i="2"/>
  <c r="AG18" i="2" l="1"/>
  <c r="AF18" i="2"/>
  <c r="AD20" i="2"/>
  <c r="AL13" i="2"/>
  <c r="AK13" i="2"/>
  <c r="AI15" i="2"/>
  <c r="AC21" i="2"/>
  <c r="AJ14" i="2"/>
  <c r="AE19" i="2"/>
  <c r="AH17" i="2"/>
  <c r="AD21" i="2" l="1"/>
  <c r="AI16" i="2"/>
  <c r="AC22" i="2"/>
  <c r="AE20" i="2"/>
  <c r="AL14" i="2"/>
  <c r="AK14" i="2"/>
  <c r="AJ15" i="2"/>
  <c r="AG19" i="2"/>
  <c r="AF19" i="2"/>
  <c r="AH18" i="2"/>
  <c r="AL15" i="2" l="1"/>
  <c r="AK15" i="2"/>
  <c r="AD22" i="2"/>
  <c r="AI17" i="2"/>
  <c r="AJ16" i="2"/>
  <c r="AG20" i="2"/>
  <c r="AF20" i="2"/>
  <c r="AE21" i="2"/>
  <c r="AH19" i="2"/>
  <c r="AL16" i="2" l="1"/>
  <c r="AK16" i="2"/>
  <c r="AG21" i="2"/>
  <c r="AF21" i="2"/>
  <c r="AJ17" i="2"/>
  <c r="AE22" i="2"/>
  <c r="AI18" i="2"/>
  <c r="AH20" i="2"/>
  <c r="AI19" i="2" l="1"/>
  <c r="AJ18" i="2"/>
  <c r="AL17" i="2"/>
  <c r="AK17" i="2"/>
  <c r="AG22" i="2"/>
  <c r="AF22" i="2"/>
  <c r="AH21" i="2"/>
  <c r="AL18" i="2" l="1"/>
  <c r="AK18" i="2"/>
  <c r="AI20" i="2"/>
  <c r="AJ19" i="2"/>
  <c r="AH22" i="2" l="1"/>
  <c r="AI21" i="2"/>
  <c r="AL19" i="2"/>
  <c r="AK19" i="2"/>
  <c r="AJ20" i="2"/>
  <c r="AJ21" i="2" l="1"/>
  <c r="AL20" i="2"/>
  <c r="AK20" i="2"/>
  <c r="AI22" i="2"/>
  <c r="AJ22" i="2" l="1"/>
  <c r="AL21" i="2"/>
  <c r="AK21" i="2"/>
  <c r="AL22" i="2" l="1"/>
  <c r="AK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谢尘竹</author>
  </authors>
  <commentList>
    <comment ref="S5" authorId="0" shapeId="0" xr:uid="{8AF9F26B-F177-4710-AF9D-A45BCABEF218}">
      <text>
        <r>
          <rPr>
            <b/>
            <sz val="9"/>
            <color indexed="81"/>
            <rFont val="宋体"/>
            <family val="3"/>
            <charset val="134"/>
          </rPr>
          <t>谢尘竹:</t>
        </r>
        <r>
          <rPr>
            <sz val="9"/>
            <color indexed="81"/>
            <rFont val="宋体"/>
            <family val="3"/>
            <charset val="134"/>
          </rPr>
          <t xml:space="preserve">
请输入相位分级数（∈正整数集N*）；
</t>
        </r>
      </text>
    </comment>
    <comment ref="S7" authorId="0" shapeId="0" xr:uid="{A6B54D1C-4E8E-4443-9720-A94E9F6C7813}">
      <text>
        <r>
          <rPr>
            <b/>
            <sz val="9"/>
            <color indexed="81"/>
            <rFont val="宋体"/>
            <family val="3"/>
            <charset val="134"/>
          </rPr>
          <t>谢尘竹:</t>
        </r>
        <r>
          <rPr>
            <sz val="9"/>
            <color indexed="81"/>
            <rFont val="宋体"/>
            <family val="3"/>
            <charset val="134"/>
          </rPr>
          <t xml:space="preserve">
RAND()
  1.浮点数.[0,1).小数位up_to_15；
RAND()*360
  2.浮点数.[0,360)；
RAND()*360-180
  3.浮点数.[-180,180)；
INT(RAND()*360-180)
  4.整数.[-180,180)；
INT(RAND()*360-180)
  5.整数.[-180,180)；
    比5'.多一个取整，就更随机；
    可用于模拟模拟数据的生成而不是整数的数字数据；
RANDBETWEEN(-180,179)
  5'.整数.[-180,179]；
     只能生成不连续的数字数据，本质上就是360分级数的分级，与8分级没有区别；
—————————————————
INT((RAND()*360-180)/45)
=INT(RAND()*8-4)
  1.整数.[-4,3]；
    在前2.的基础上先动刀子切成小块(分级)了，再往左移了;
    将360级or无限级，采样为8分立级：0,1,...,7 → -4,-3,...,3；
INT((RAND()*360-180)/360*$S$5)
=INT(RAND()*$S$5-$S$5/2)
  2.其中$S$5=分级数
    这个式子（在分级数为奇数时）不匹配我的分级层次，得改；
    原来分级最左侧是0-$S$5/2，这符合这里的0-180；
INT((RAND()*360-180)/360*$S$5)
=INT(RAND()*$S$5-$S$5/2)
  3.由于现在分级关系的最左侧是-($S$5-MOD($S$5,2))/2，相对于原来的-$S$5/2，还往右平移了+ MOD($S$5,2)/2，
    则无分级相位的最左侧-180，要同分级相位一样，都应往右平移：+ (MOD($S$5,2)/2)/$S$5*360；
    现在两个分级关系的最左侧分别为：-($S$5-MOD($S$5,2))/2=$S$7和-(1-MOD($S$5,2)/$S$5)*360/2=$S$7/$S$5*360；
   *两式中的360与$S$5可以任意同时替换为其他变量，甚至似乎连两式中的2，也可全都替换为n，即原点n等分尺子？！；
INT((RAND()*360-180+(MOD($S$5,2)/2)/$S$5*360)/360*$S$5)
=INT(RAND()*$S$5-$S$5/2+MOD($S$5,2)/2)
=INT(?/360*$S$5+$S$7)</t>
        </r>
      </text>
    </comment>
  </commentList>
</comments>
</file>

<file path=xl/sharedStrings.xml><?xml version="1.0" encoding="utf-8"?>
<sst xmlns="http://schemas.openxmlformats.org/spreadsheetml/2006/main" count="116" uniqueCount="74">
  <si>
    <t>光强</t>
    <phoneticPr fontId="1" type="noConversion"/>
  </si>
  <si>
    <t>方向</t>
    <phoneticPr fontId="1" type="noConversion"/>
  </si>
  <si>
    <t>复振幅属性</t>
    <phoneticPr fontId="1" type="noConversion"/>
  </si>
  <si>
    <t>实数</t>
    <phoneticPr fontId="1" type="noConversion"/>
  </si>
  <si>
    <t>物obj</t>
    <phoneticPr fontId="1" type="noConversion"/>
  </si>
  <si>
    <t>z轴</t>
    <phoneticPr fontId="1" type="noConversion"/>
  </si>
  <si>
    <t>光路</t>
    <phoneticPr fontId="1" type="noConversion"/>
  </si>
  <si>
    <t>物理过程（奇数）</t>
    <phoneticPr fontId="1" type="noConversion"/>
  </si>
  <si>
    <t>物理过程（偶数）</t>
    <phoneticPr fontId="1" type="noConversion"/>
  </si>
  <si>
    <t>二元复函数</t>
    <phoneticPr fontId="1" type="noConversion"/>
  </si>
  <si>
    <t>①. 入射</t>
    <phoneticPr fontId="1" type="noConversion"/>
  </si>
  <si>
    <t>经典同轴透射全息</t>
    <phoneticPr fontId="1" type="noConversion"/>
  </si>
  <si>
    <t>参考光Ref</t>
    <phoneticPr fontId="1" type="noConversion"/>
  </si>
  <si>
    <t>直接透射光</t>
    <phoneticPr fontId="1" type="noConversion"/>
  </si>
  <si>
    <t>②. 产生两种光</t>
    <phoneticPr fontId="1" type="noConversion"/>
  </si>
  <si>
    <t>④. 无损耗地到达</t>
    <phoneticPr fontId="1" type="noConversion"/>
  </si>
  <si>
    <t>全息相片hologram</t>
    <phoneticPr fontId="1" type="noConversion"/>
  </si>
  <si>
    <t>复振幅(透过率)</t>
    <phoneticPr fontId="1" type="noConversion"/>
  </si>
  <si>
    <t>⑤. Be recorded and printed as</t>
    <phoneticPr fontId="1" type="noConversion"/>
  </si>
  <si>
    <t>R &gt;≈r</t>
    <phoneticPr fontId="1" type="noConversion"/>
  </si>
  <si>
    <t>③. 两成分合成为</t>
    <phoneticPr fontId="1" type="noConversion"/>
  </si>
  <si>
    <t>I(x,y) =|r+o(x,y)|^2</t>
    <phoneticPr fontId="1" type="noConversion"/>
  </si>
  <si>
    <t>A(x,y) =r+o(x,y)</t>
    <phoneticPr fontId="1" type="noConversion"/>
  </si>
  <si>
    <t>透射光A</t>
    <phoneticPr fontId="1" type="noConversion"/>
  </si>
  <si>
    <t>二元实函数</t>
    <phoneticPr fontId="1" type="noConversion"/>
  </si>
  <si>
    <t>R^2 &gt;≈r^2</t>
    <phoneticPr fontId="1" type="noConversion"/>
  </si>
  <si>
    <t>注意</t>
    <phoneticPr fontId="1" type="noConversion"/>
  </si>
  <si>
    <t>r =R·t_0</t>
    <phoneticPr fontId="1" type="noConversion"/>
  </si>
  <si>
    <t>t(x,y) =t_0+β(x,y)</t>
    <phoneticPr fontId="1" type="noConversion"/>
  </si>
  <si>
    <t>o(x,y) =R·β(x,y)</t>
    <phoneticPr fontId="1" type="noConversion"/>
  </si>
  <si>
    <t>|β(x,y)|&lt;&lt;t_0</t>
    <phoneticPr fontId="1" type="noConversion"/>
  </si>
  <si>
    <t>r^2 &lt;≈R^2</t>
    <phoneticPr fontId="1" type="noConversion"/>
  </si>
  <si>
    <t>|o(x,y)|^2 &lt;&lt;r^2</t>
    <phoneticPr fontId="1" type="noConversion"/>
  </si>
  <si>
    <t>t(x,y) =t_0+β(x,t)·T·I(x,y)</t>
    <phoneticPr fontId="1" type="noConversion"/>
  </si>
  <si>
    <t>像面(非实物)x-o-y</t>
    <phoneticPr fontId="1" type="noConversion"/>
  </si>
  <si>
    <t>x-o-y面</t>
    <phoneticPr fontId="1" type="noConversion"/>
  </si>
  <si>
    <t>全息摄影</t>
    <phoneticPr fontId="1" type="noConversion"/>
  </si>
  <si>
    <t>重现</t>
    <phoneticPr fontId="1" type="noConversion"/>
  </si>
  <si>
    <t>重现光Ref</t>
    <phoneticPr fontId="1" type="noConversion"/>
  </si>
  <si>
    <t>t(x,y) =t_0+β(x,y)·T·I(x,y)</t>
    <phoneticPr fontId="1" type="noConversion"/>
  </si>
  <si>
    <t>且二者不同于7</t>
    <phoneticPr fontId="1" type="noConversion"/>
  </si>
  <si>
    <t>透射光u</t>
    <phoneticPr fontId="1" type="noConversion"/>
  </si>
  <si>
    <t>t_0+βT·|r+o(x,y)|^2</t>
    <phoneticPr fontId="1" type="noConversion"/>
  </si>
  <si>
    <t>R·t_0+RβT·r^2</t>
    <phoneticPr fontId="1" type="noConversion"/>
  </si>
  <si>
    <t>rRβT·o*(x,y)</t>
    <phoneticPr fontId="1" type="noConversion"/>
  </si>
  <si>
    <t>&gt;&gt;|RβT·o(x,y)^2|^2</t>
    <phoneticPr fontId="1" type="noConversion"/>
  </si>
  <si>
    <t xml:space="preserve"> =|rRβT·o(x,y)|^2</t>
    <phoneticPr fontId="1" type="noConversion"/>
  </si>
  <si>
    <t>z向调制的相片光</t>
    <phoneticPr fontId="1" type="noConversion"/>
  </si>
  <si>
    <t>rRβT·o(x,y)∝o(x,y)</t>
    <phoneticPr fontId="1" type="noConversion"/>
  </si>
  <si>
    <t>还原摄影时从物obj向右散射的物光o(x,y)，∴其集合形成的像及其位置与物无异</t>
    <phoneticPr fontId="1" type="noConversion"/>
  </si>
  <si>
    <t>u(x,y) =背景+孪生像</t>
    <phoneticPr fontId="1" type="noConversion"/>
  </si>
  <si>
    <t>为形成像，需多光束(反向)汇聚，则，则像的位置在左侧（不论有观察者没有）</t>
    <phoneticPr fontId="1" type="noConversion"/>
  </si>
  <si>
    <t>//像面；尺寸有限</t>
    <phoneticPr fontId="1" type="noConversion"/>
  </si>
  <si>
    <t>方向；横截面</t>
    <phoneticPr fontId="1" type="noConversion"/>
  </si>
  <si>
    <t>z轴；∞</t>
    <phoneticPr fontId="1" type="noConversion"/>
  </si>
  <si>
    <t>散射的物光o</t>
    <phoneticPr fontId="1" type="noConversion"/>
  </si>
  <si>
    <t>物光朝4π球面度的各方向散射</t>
    <phoneticPr fontId="1" type="noConversion"/>
  </si>
  <si>
    <t>但这里只取物右侧2π球面度而非左侧</t>
    <phoneticPr fontId="1" type="noConversion"/>
  </si>
  <si>
    <t>T=曝光时间；t_0与r对应，只包含常量背景透射，均是实数</t>
    <phoneticPr fontId="1" type="noConversion"/>
  </si>
  <si>
    <t>路程×折射率)相同时，介质为所有到达其出射端面的A(x,y)</t>
    <phoneticPr fontId="1" type="noConversion"/>
  </si>
  <si>
    <t>当记录介质内所有单色光光程(=z向厚度d或2π球面度内某向</t>
    <phoneticPr fontId="1" type="noConversion"/>
  </si>
  <si>
    <t>引入的附加相位相同，此时(d(x,y)→0)β是实数，且与x,y无关</t>
    <phoneticPr fontId="1" type="noConversion"/>
  </si>
  <si>
    <t>代表的区间</t>
    <phoneticPr fontId="1" type="noConversion"/>
  </si>
  <si>
    <t>[</t>
    <phoneticPr fontId="1" type="noConversion"/>
  </si>
  <si>
    <t>)</t>
    <phoneticPr fontId="1" type="noConversion"/>
  </si>
  <si>
    <t>相位分级数</t>
    <phoneticPr fontId="1" type="noConversion"/>
  </si>
  <si>
    <t>未分级采样前，相位区间按照分级，已将原点挪到分级后的某中间刻度处(已平移好了)的：标准表</t>
    <phoneticPr fontId="1" type="noConversion"/>
  </si>
  <si>
    <t>未分级采样前，相位区间也尚未平移的：标准表</t>
    <phoneticPr fontId="1" type="noConversion"/>
  </si>
  <si>
    <t>余数</t>
  </si>
  <si>
    <t>分母</t>
  </si>
  <si>
    <t>误差扩散算法：将标准表中按左&gt;右&gt;上&gt;下的次序，先后将每个单元格的值除以分级数的商作为级次；余数按照一定的分布比例，加到其周围的单元格的值中去（注意满360归零）；(优化完)初步分级后再将级次原点平移到总级数中部</t>
    <phoneticPr fontId="1" type="noConversion"/>
  </si>
  <si>
    <t>标准表所生成的：对照组</t>
    <phoneticPr fontId="1" type="noConversion"/>
  </si>
  <si>
    <t>对1型扩散表分级采样+平移所得的：实验组1</t>
    <phoneticPr fontId="1" type="noConversion"/>
  </si>
  <si>
    <t>未分级采样前，相位区间也未平移，但加入了1号误差扩散算法的：1号扩散法下的标准表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</si>
</sst>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thin">
        <color auto="1"/>
      </diagonal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ill="1" applyAlignment="1">
      <alignment horizontal="center"/>
    </xf>
    <xf numFmtId="0" fontId="0" fillId="0" borderId="0" xfId="0" applyFill="1" applyAlignment="1"/>
    <xf numFmtId="0" fontId="0" fillId="16" borderId="6" xfId="0" applyFill="1" applyBorder="1" applyAlignment="1">
      <alignment horizontal="center"/>
    </xf>
    <xf numFmtId="0" fontId="0" fillId="16" borderId="6" xfId="0" applyFill="1" applyBorder="1" applyAlignment="1">
      <alignment horizontal="right"/>
    </xf>
    <xf numFmtId="0" fontId="0" fillId="14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2" xfId="0" applyFill="1" applyBorder="1" applyAlignment="1">
      <alignment horizontal="right"/>
    </xf>
    <xf numFmtId="0" fontId="0" fillId="0" borderId="2" xfId="0" applyFill="1" applyBorder="1" applyAlignment="1">
      <alignment horizontal="left"/>
    </xf>
    <xf numFmtId="0" fontId="2" fillId="6" borderId="10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7" borderId="2" xfId="0" applyFill="1" applyBorder="1" applyAlignment="1"/>
    <xf numFmtId="0" fontId="0" fillId="0" borderId="0" xfId="0" applyBorder="1"/>
    <xf numFmtId="0" fontId="0" fillId="0" borderId="4" xfId="0" applyBorder="1"/>
    <xf numFmtId="0" fontId="0" fillId="0" borderId="1" xfId="0" applyBorder="1"/>
    <xf numFmtId="0" fontId="0" fillId="0" borderId="7" xfId="0" applyBorder="1"/>
    <xf numFmtId="0" fontId="0" fillId="16" borderId="6" xfId="0" applyFill="1" applyBorder="1"/>
    <xf numFmtId="0" fontId="0" fillId="16" borderId="9" xfId="0" applyFill="1" applyBorder="1"/>
    <xf numFmtId="0" fontId="0" fillId="12" borderId="3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12" borderId="11" xfId="0" applyFill="1" applyBorder="1" applyAlignment="1">
      <alignment horizontal="center"/>
    </xf>
    <xf numFmtId="0" fontId="0" fillId="16" borderId="9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6" borderId="0" xfId="0" applyFill="1"/>
    <xf numFmtId="0" fontId="0" fillId="6" borderId="0" xfId="0" applyFill="1" applyAlignment="1"/>
    <xf numFmtId="0" fontId="0" fillId="9" borderId="0" xfId="0" applyFill="1"/>
    <xf numFmtId="0" fontId="0" fillId="3" borderId="0" xfId="0" applyFill="1"/>
    <xf numFmtId="0" fontId="0" fillId="18" borderId="0" xfId="0" applyFill="1"/>
    <xf numFmtId="0" fontId="0" fillId="3" borderId="12" xfId="0" applyFill="1" applyBorder="1"/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15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99"/>
  <sheetViews>
    <sheetView topLeftCell="A5" workbookViewId="0">
      <selection activeCell="N14" sqref="N14"/>
    </sheetView>
  </sheetViews>
  <sheetFormatPr defaultRowHeight="14.25" x14ac:dyDescent="0.2"/>
  <cols>
    <col min="1" max="14" width="16.625" style="1" customWidth="1"/>
    <col min="15" max="19" width="9" customWidth="1"/>
  </cols>
  <sheetData>
    <row r="1" spans="2:14" x14ac:dyDescent="0.2">
      <c r="B1"/>
      <c r="C1"/>
      <c r="D1"/>
      <c r="E1"/>
      <c r="F1"/>
      <c r="G1"/>
      <c r="H1"/>
      <c r="I1"/>
      <c r="J1"/>
    </row>
    <row r="2" spans="2:14" x14ac:dyDescent="0.2">
      <c r="B2"/>
      <c r="C2"/>
      <c r="D2"/>
      <c r="E2"/>
      <c r="F2"/>
      <c r="G2"/>
      <c r="H2"/>
      <c r="I2"/>
      <c r="J2"/>
    </row>
    <row r="3" spans="2:14" x14ac:dyDescent="0.2">
      <c r="B3"/>
      <c r="C3"/>
      <c r="D3"/>
      <c r="E3"/>
      <c r="F3"/>
      <c r="G3"/>
      <c r="H3"/>
      <c r="I3"/>
      <c r="J3"/>
      <c r="K3" s="3"/>
      <c r="L3" s="3"/>
      <c r="M3" s="3"/>
    </row>
    <row r="4" spans="2:14" x14ac:dyDescent="0.2">
      <c r="B4"/>
      <c r="C4"/>
      <c r="D4"/>
      <c r="E4"/>
      <c r="F4"/>
      <c r="G4"/>
      <c r="H4"/>
      <c r="I4"/>
      <c r="J4"/>
      <c r="K4" s="4"/>
      <c r="L4" s="4"/>
      <c r="M4" s="4"/>
      <c r="N4" s="2"/>
    </row>
    <row r="5" spans="2:14" x14ac:dyDescent="0.2">
      <c r="B5" t="s">
        <v>11</v>
      </c>
      <c r="C5"/>
      <c r="D5"/>
      <c r="E5"/>
      <c r="F5"/>
      <c r="G5"/>
      <c r="H5"/>
      <c r="I5"/>
      <c r="J5"/>
      <c r="K5" s="3"/>
      <c r="L5" s="3"/>
      <c r="M5" s="3"/>
    </row>
    <row r="6" spans="2:14" x14ac:dyDescent="0.2">
      <c r="B6" s="7" t="s">
        <v>36</v>
      </c>
      <c r="C6" s="8">
        <v>1</v>
      </c>
      <c r="D6" s="8">
        <v>2</v>
      </c>
      <c r="E6" s="8">
        <v>3</v>
      </c>
      <c r="F6" s="8">
        <v>4</v>
      </c>
      <c r="G6" s="8">
        <v>5</v>
      </c>
      <c r="H6" s="8">
        <v>6</v>
      </c>
      <c r="I6" s="8">
        <v>7</v>
      </c>
      <c r="J6"/>
      <c r="K6" s="4"/>
      <c r="L6" s="4"/>
      <c r="M6" s="4"/>
    </row>
    <row r="7" spans="2:14" x14ac:dyDescent="0.2">
      <c r="B7" s="27" t="s">
        <v>8</v>
      </c>
      <c r="C7" s="10"/>
      <c r="D7" s="50" t="s">
        <v>14</v>
      </c>
      <c r="E7" s="50"/>
      <c r="F7" s="50"/>
      <c r="G7" s="49" t="s">
        <v>15</v>
      </c>
      <c r="H7" s="49"/>
      <c r="I7" s="28"/>
      <c r="J7"/>
      <c r="K7" s="3"/>
      <c r="L7" s="3"/>
      <c r="M7" s="3"/>
    </row>
    <row r="8" spans="2:14" x14ac:dyDescent="0.2">
      <c r="B8" s="11" t="s">
        <v>6</v>
      </c>
      <c r="C8" s="12" t="s">
        <v>12</v>
      </c>
      <c r="D8" s="12" t="s">
        <v>4</v>
      </c>
      <c r="E8" s="12" t="s">
        <v>13</v>
      </c>
      <c r="F8" s="12" t="s">
        <v>55</v>
      </c>
      <c r="G8" s="12" t="s">
        <v>23</v>
      </c>
      <c r="H8" s="12" t="s">
        <v>34</v>
      </c>
      <c r="I8" s="12" t="s">
        <v>16</v>
      </c>
      <c r="J8"/>
      <c r="K8" s="3"/>
      <c r="L8" s="3"/>
      <c r="M8" s="3"/>
    </row>
    <row r="9" spans="2:14" x14ac:dyDescent="0.2">
      <c r="B9" s="27" t="s">
        <v>7</v>
      </c>
      <c r="C9" s="50" t="s">
        <v>10</v>
      </c>
      <c r="D9" s="50"/>
      <c r="E9" s="49" t="s">
        <v>20</v>
      </c>
      <c r="F9" s="49"/>
      <c r="G9" s="49"/>
      <c r="H9" s="50" t="s">
        <v>18</v>
      </c>
      <c r="I9" s="50"/>
      <c r="J9"/>
      <c r="K9" s="3"/>
      <c r="L9" s="3"/>
      <c r="M9" s="3"/>
    </row>
    <row r="10" spans="2:14" x14ac:dyDescent="0.2">
      <c r="B10" s="13" t="s">
        <v>17</v>
      </c>
      <c r="C10" s="14" t="s">
        <v>19</v>
      </c>
      <c r="D10" s="14" t="s">
        <v>28</v>
      </c>
      <c r="E10" s="14" t="s">
        <v>27</v>
      </c>
      <c r="F10" s="14" t="s">
        <v>29</v>
      </c>
      <c r="G10" s="14" t="s">
        <v>22</v>
      </c>
      <c r="H10" s="15"/>
      <c r="I10" s="14" t="s">
        <v>39</v>
      </c>
      <c r="J10"/>
      <c r="K10" s="3"/>
      <c r="L10" s="3"/>
      <c r="M10" s="3"/>
    </row>
    <row r="11" spans="2:14" x14ac:dyDescent="0.2">
      <c r="B11" s="13" t="s">
        <v>2</v>
      </c>
      <c r="C11" s="14" t="s">
        <v>3</v>
      </c>
      <c r="D11" s="14" t="s">
        <v>9</v>
      </c>
      <c r="E11" s="14" t="s">
        <v>3</v>
      </c>
      <c r="F11" s="14" t="s">
        <v>9</v>
      </c>
      <c r="G11" s="14" t="s">
        <v>9</v>
      </c>
      <c r="H11" s="14" t="s">
        <v>9</v>
      </c>
      <c r="I11" s="14" t="s">
        <v>24</v>
      </c>
      <c r="J11"/>
      <c r="K11" s="3"/>
      <c r="L11" s="3"/>
      <c r="M11" s="3"/>
    </row>
    <row r="12" spans="2:14" s="1" customFormat="1" x14ac:dyDescent="0.2">
      <c r="B12" s="16" t="s">
        <v>0</v>
      </c>
      <c r="C12" s="17" t="s">
        <v>25</v>
      </c>
      <c r="D12" s="18"/>
      <c r="E12" s="17" t="s">
        <v>31</v>
      </c>
      <c r="F12" s="17" t="s">
        <v>32</v>
      </c>
      <c r="G12" s="17" t="s">
        <v>21</v>
      </c>
      <c r="H12" s="18"/>
      <c r="I12" s="18"/>
      <c r="J12"/>
      <c r="K12" s="3"/>
      <c r="L12" s="3"/>
      <c r="M12" s="3"/>
    </row>
    <row r="13" spans="2:14" x14ac:dyDescent="0.2">
      <c r="B13" s="19" t="s">
        <v>53</v>
      </c>
      <c r="C13" s="20" t="s">
        <v>54</v>
      </c>
      <c r="D13" s="35" t="s">
        <v>52</v>
      </c>
      <c r="E13" s="20" t="s">
        <v>54</v>
      </c>
      <c r="F13" s="35" t="s">
        <v>54</v>
      </c>
      <c r="G13" s="20" t="s">
        <v>54</v>
      </c>
      <c r="H13" s="20" t="s">
        <v>35</v>
      </c>
      <c r="I13" s="38"/>
      <c r="J13"/>
    </row>
    <row r="14" spans="2:14" x14ac:dyDescent="0.2">
      <c r="B14" s="51" t="s">
        <v>26</v>
      </c>
      <c r="C14" s="30"/>
      <c r="D14" s="5" t="s">
        <v>30</v>
      </c>
      <c r="E14" s="30"/>
      <c r="F14" s="6" t="s">
        <v>56</v>
      </c>
      <c r="G14" s="30"/>
      <c r="H14" s="36"/>
      <c r="I14" s="6" t="s">
        <v>58</v>
      </c>
      <c r="J14"/>
    </row>
    <row r="15" spans="2:14" x14ac:dyDescent="0.2">
      <c r="B15" s="51"/>
      <c r="C15" s="31"/>
      <c r="D15" s="5" t="s">
        <v>40</v>
      </c>
      <c r="E15" s="31"/>
      <c r="F15" s="6" t="s">
        <v>57</v>
      </c>
      <c r="G15" s="31"/>
      <c r="H15" s="29"/>
      <c r="I15" s="6" t="s">
        <v>60</v>
      </c>
      <c r="J15"/>
    </row>
    <row r="16" spans="2:14" x14ac:dyDescent="0.2">
      <c r="B16" s="51"/>
      <c r="C16" s="31"/>
      <c r="D16" s="33"/>
      <c r="E16" s="31"/>
      <c r="F16" s="33"/>
      <c r="G16" s="31"/>
      <c r="H16" s="29"/>
      <c r="I16" s="6" t="s">
        <v>59</v>
      </c>
      <c r="J16"/>
    </row>
    <row r="17" spans="2:13" x14ac:dyDescent="0.2">
      <c r="B17" s="51"/>
      <c r="C17" s="32"/>
      <c r="D17" s="34"/>
      <c r="E17" s="32"/>
      <c r="F17" s="34"/>
      <c r="G17" s="32"/>
      <c r="H17" s="37"/>
      <c r="I17" s="39" t="s">
        <v>61</v>
      </c>
      <c r="J17"/>
    </row>
    <row r="18" spans="2:13" x14ac:dyDescent="0.2">
      <c r="B18"/>
      <c r="C18"/>
      <c r="D18"/>
      <c r="E18"/>
      <c r="F18"/>
      <c r="G18"/>
      <c r="H18"/>
      <c r="I18"/>
      <c r="J18"/>
    </row>
    <row r="19" spans="2:13" x14ac:dyDescent="0.2">
      <c r="B19" s="7" t="s">
        <v>37</v>
      </c>
      <c r="C19" s="8">
        <v>1</v>
      </c>
      <c r="D19" s="8">
        <v>2</v>
      </c>
      <c r="E19" s="8">
        <v>3</v>
      </c>
      <c r="F19" s="8">
        <v>4</v>
      </c>
      <c r="G19" s="8">
        <v>5</v>
      </c>
      <c r="H19" s="8">
        <v>6</v>
      </c>
      <c r="I19" s="8">
        <v>7</v>
      </c>
      <c r="J19" s="10"/>
    </row>
    <row r="20" spans="2:13" x14ac:dyDescent="0.2">
      <c r="B20" s="27" t="s">
        <v>8</v>
      </c>
      <c r="C20" s="10"/>
      <c r="D20" s="50" t="s">
        <v>14</v>
      </c>
      <c r="E20" s="50"/>
      <c r="F20" s="50"/>
      <c r="G20" s="50"/>
      <c r="H20" s="49" t="s">
        <v>15</v>
      </c>
      <c r="I20" s="49"/>
      <c r="J20" s="10"/>
    </row>
    <row r="21" spans="2:13" x14ac:dyDescent="0.2">
      <c r="B21" s="11" t="s">
        <v>6</v>
      </c>
      <c r="C21" s="12" t="s">
        <v>38</v>
      </c>
      <c r="D21" s="12" t="s">
        <v>16</v>
      </c>
      <c r="E21" s="12" t="s">
        <v>13</v>
      </c>
      <c r="F21" s="52" t="s">
        <v>47</v>
      </c>
      <c r="G21" s="52"/>
      <c r="H21" s="12" t="s">
        <v>41</v>
      </c>
      <c r="I21" s="12" t="s">
        <v>34</v>
      </c>
      <c r="J21" s="12" t="s">
        <v>16</v>
      </c>
      <c r="K21" s="3"/>
      <c r="L21" s="3"/>
      <c r="M21" s="3"/>
    </row>
    <row r="22" spans="2:13" s="1" customFormat="1" x14ac:dyDescent="0.2">
      <c r="B22" s="27" t="s">
        <v>7</v>
      </c>
      <c r="C22" s="50" t="s">
        <v>10</v>
      </c>
      <c r="D22" s="50"/>
      <c r="E22" s="49" t="s">
        <v>20</v>
      </c>
      <c r="F22" s="49"/>
      <c r="G22" s="49"/>
      <c r="H22" s="49"/>
      <c r="I22" s="50" t="s">
        <v>18</v>
      </c>
      <c r="J22" s="50"/>
      <c r="K22" s="3"/>
      <c r="L22" s="3"/>
      <c r="M22" s="3"/>
    </row>
    <row r="23" spans="2:13" x14ac:dyDescent="0.2">
      <c r="B23" s="13" t="s">
        <v>17</v>
      </c>
      <c r="C23" s="14" t="s">
        <v>19</v>
      </c>
      <c r="D23" s="14" t="s">
        <v>42</v>
      </c>
      <c r="E23" s="14" t="s">
        <v>43</v>
      </c>
      <c r="F23" s="14" t="s">
        <v>48</v>
      </c>
      <c r="G23" s="14" t="s">
        <v>44</v>
      </c>
      <c r="H23" s="14" t="s">
        <v>50</v>
      </c>
      <c r="I23" s="26"/>
      <c r="J23" s="14" t="s">
        <v>33</v>
      </c>
    </row>
    <row r="24" spans="2:13" x14ac:dyDescent="0.2">
      <c r="B24" s="13" t="s">
        <v>2</v>
      </c>
      <c r="C24" s="14" t="s">
        <v>3</v>
      </c>
      <c r="D24" s="14" t="s">
        <v>24</v>
      </c>
      <c r="E24" s="14" t="s">
        <v>3</v>
      </c>
      <c r="F24" s="14" t="s">
        <v>9</v>
      </c>
      <c r="G24" s="14" t="s">
        <v>9</v>
      </c>
      <c r="H24" s="14" t="s">
        <v>9</v>
      </c>
      <c r="I24" s="14" t="s">
        <v>9</v>
      </c>
      <c r="J24" s="14" t="s">
        <v>24</v>
      </c>
    </row>
    <row r="25" spans="2:13" x14ac:dyDescent="0.2">
      <c r="B25" s="16" t="s">
        <v>0</v>
      </c>
      <c r="C25" s="17" t="s">
        <v>25</v>
      </c>
      <c r="D25" s="18"/>
      <c r="E25" s="17" t="s">
        <v>31</v>
      </c>
      <c r="F25" s="17" t="s">
        <v>45</v>
      </c>
      <c r="G25" s="17" t="s">
        <v>46</v>
      </c>
      <c r="H25" s="17" t="s">
        <v>21</v>
      </c>
      <c r="I25" s="18"/>
      <c r="J25" s="18"/>
    </row>
    <row r="26" spans="2:13" x14ac:dyDescent="0.2">
      <c r="B26" s="19" t="s">
        <v>1</v>
      </c>
      <c r="C26" s="20" t="s">
        <v>5</v>
      </c>
      <c r="D26" s="21"/>
      <c r="E26" s="20" t="s">
        <v>5</v>
      </c>
      <c r="F26" s="20" t="s">
        <v>5</v>
      </c>
      <c r="G26" s="20" t="s">
        <v>5</v>
      </c>
      <c r="H26" s="20" t="s">
        <v>5</v>
      </c>
      <c r="I26" s="20" t="s">
        <v>35</v>
      </c>
      <c r="J26" s="21"/>
    </row>
    <row r="27" spans="2:13" x14ac:dyDescent="0.2">
      <c r="B27" s="22" t="s">
        <v>26</v>
      </c>
      <c r="C27" s="9"/>
      <c r="D27" s="9"/>
      <c r="E27" s="9"/>
      <c r="F27" s="24" t="s">
        <v>49</v>
      </c>
      <c r="G27" s="23"/>
      <c r="H27" s="9"/>
      <c r="I27" s="25"/>
      <c r="J27" s="9"/>
    </row>
    <row r="28" spans="2:13" x14ac:dyDescent="0.2">
      <c r="B28" s="22" t="s">
        <v>26</v>
      </c>
      <c r="C28" s="9"/>
      <c r="D28" s="9"/>
      <c r="E28" s="9"/>
      <c r="F28" s="24" t="s">
        <v>51</v>
      </c>
      <c r="G28" s="23"/>
      <c r="H28" s="9"/>
      <c r="I28" s="9"/>
      <c r="J28" s="9"/>
    </row>
    <row r="29" spans="2:13" x14ac:dyDescent="0.2">
      <c r="B29"/>
      <c r="C29"/>
      <c r="D29"/>
      <c r="E29"/>
      <c r="F29"/>
      <c r="G29"/>
      <c r="H29"/>
      <c r="I29"/>
      <c r="J29"/>
    </row>
    <row r="40" spans="2:10" x14ac:dyDescent="0.2">
      <c r="B40"/>
      <c r="C40"/>
      <c r="D40"/>
      <c r="E40"/>
      <c r="F40"/>
      <c r="G40"/>
      <c r="H40"/>
      <c r="I40"/>
      <c r="J40"/>
    </row>
    <row r="41" spans="2:10" x14ac:dyDescent="0.2">
      <c r="B41"/>
      <c r="C41"/>
      <c r="D41"/>
      <c r="E41"/>
      <c r="F41"/>
      <c r="G41"/>
      <c r="H41"/>
      <c r="I41"/>
      <c r="J41"/>
    </row>
    <row r="42" spans="2:10" x14ac:dyDescent="0.2">
      <c r="B42"/>
      <c r="C42"/>
      <c r="D42"/>
      <c r="E42"/>
      <c r="F42"/>
      <c r="G42"/>
      <c r="H42"/>
      <c r="I42"/>
      <c r="J42"/>
    </row>
    <row r="43" spans="2:10" x14ac:dyDescent="0.2">
      <c r="B43"/>
      <c r="C43"/>
      <c r="D43"/>
      <c r="E43"/>
      <c r="F43"/>
      <c r="G43"/>
      <c r="H43"/>
      <c r="I43"/>
      <c r="J43"/>
    </row>
    <row r="44" spans="2:10" x14ac:dyDescent="0.2">
      <c r="B44"/>
      <c r="C44"/>
      <c r="D44"/>
      <c r="E44"/>
      <c r="F44"/>
      <c r="G44"/>
      <c r="H44"/>
      <c r="I44"/>
      <c r="J44"/>
    </row>
    <row r="45" spans="2:10" x14ac:dyDescent="0.2">
      <c r="B45"/>
      <c r="C45"/>
      <c r="D45"/>
      <c r="E45"/>
      <c r="F45"/>
      <c r="G45"/>
      <c r="H45"/>
      <c r="I45"/>
      <c r="J45"/>
    </row>
    <row r="46" spans="2:10" x14ac:dyDescent="0.2">
      <c r="B46"/>
      <c r="C46"/>
      <c r="D46"/>
      <c r="E46"/>
      <c r="F46"/>
      <c r="G46"/>
      <c r="H46"/>
      <c r="I46"/>
      <c r="J46"/>
    </row>
    <row r="47" spans="2:10" x14ac:dyDescent="0.2">
      <c r="B47"/>
      <c r="C47"/>
      <c r="D47"/>
      <c r="E47"/>
      <c r="F47"/>
      <c r="G47"/>
      <c r="H47"/>
      <c r="I47"/>
      <c r="J47"/>
    </row>
    <row r="48" spans="2:10" x14ac:dyDescent="0.2">
      <c r="B48"/>
      <c r="C48"/>
      <c r="D48"/>
      <c r="E48"/>
      <c r="F48"/>
      <c r="G48"/>
      <c r="H48"/>
      <c r="I48"/>
      <c r="J48"/>
    </row>
    <row r="49" spans="2:10" x14ac:dyDescent="0.2">
      <c r="B49"/>
      <c r="C49"/>
      <c r="D49"/>
      <c r="E49"/>
      <c r="F49"/>
      <c r="G49"/>
      <c r="H49"/>
      <c r="I49"/>
      <c r="J49"/>
    </row>
    <row r="50" spans="2:10" x14ac:dyDescent="0.2">
      <c r="B50"/>
      <c r="C50"/>
      <c r="D50"/>
      <c r="E50"/>
      <c r="F50"/>
      <c r="G50"/>
      <c r="H50"/>
      <c r="I50"/>
      <c r="J50"/>
    </row>
    <row r="51" spans="2:10" x14ac:dyDescent="0.2">
      <c r="B51"/>
      <c r="C51"/>
      <c r="D51"/>
      <c r="E51"/>
      <c r="F51"/>
      <c r="G51"/>
      <c r="H51"/>
      <c r="I51"/>
      <c r="J51"/>
    </row>
    <row r="52" spans="2:10" x14ac:dyDescent="0.2">
      <c r="B52"/>
      <c r="C52"/>
      <c r="D52"/>
      <c r="E52"/>
      <c r="F52"/>
      <c r="G52"/>
      <c r="H52"/>
      <c r="I52"/>
      <c r="J52"/>
    </row>
    <row r="53" spans="2:10" x14ac:dyDescent="0.2">
      <c r="B53"/>
      <c r="C53"/>
      <c r="D53"/>
      <c r="E53"/>
      <c r="F53"/>
      <c r="G53"/>
      <c r="H53"/>
      <c r="I53"/>
      <c r="J53"/>
    </row>
    <row r="54" spans="2:10" x14ac:dyDescent="0.2">
      <c r="B54"/>
      <c r="C54"/>
      <c r="D54"/>
      <c r="E54"/>
      <c r="F54"/>
      <c r="G54"/>
      <c r="H54"/>
      <c r="I54"/>
      <c r="J54"/>
    </row>
    <row r="55" spans="2:10" x14ac:dyDescent="0.2">
      <c r="B55"/>
      <c r="C55"/>
      <c r="D55"/>
      <c r="E55"/>
      <c r="F55"/>
      <c r="G55"/>
      <c r="H55"/>
      <c r="I55"/>
      <c r="J55"/>
    </row>
    <row r="56" spans="2:10" x14ac:dyDescent="0.2">
      <c r="B56"/>
      <c r="C56"/>
      <c r="D56"/>
      <c r="E56"/>
      <c r="F56"/>
      <c r="G56"/>
      <c r="H56"/>
      <c r="I56"/>
      <c r="J56"/>
    </row>
    <row r="57" spans="2:10" x14ac:dyDescent="0.2">
      <c r="B57"/>
      <c r="C57"/>
      <c r="D57"/>
      <c r="E57"/>
      <c r="F57"/>
      <c r="G57"/>
      <c r="H57"/>
      <c r="I57"/>
      <c r="J57"/>
    </row>
    <row r="58" spans="2:10" x14ac:dyDescent="0.2">
      <c r="B58"/>
      <c r="C58"/>
      <c r="D58"/>
      <c r="E58"/>
      <c r="F58"/>
      <c r="G58"/>
      <c r="H58"/>
      <c r="I58"/>
      <c r="J58"/>
    </row>
    <row r="59" spans="2:10" x14ac:dyDescent="0.2">
      <c r="B59"/>
      <c r="C59"/>
      <c r="D59"/>
      <c r="E59"/>
      <c r="F59"/>
      <c r="G59"/>
      <c r="H59"/>
      <c r="I59"/>
      <c r="J59"/>
    </row>
    <row r="60" spans="2:10" x14ac:dyDescent="0.2">
      <c r="B60"/>
      <c r="C60"/>
      <c r="D60"/>
      <c r="E60"/>
      <c r="F60"/>
      <c r="G60"/>
      <c r="H60"/>
      <c r="I60"/>
      <c r="J60"/>
    </row>
    <row r="61" spans="2:10" x14ac:dyDescent="0.2">
      <c r="B61"/>
      <c r="C61"/>
      <c r="D61"/>
      <c r="E61"/>
      <c r="F61"/>
      <c r="G61"/>
      <c r="H61"/>
      <c r="I61"/>
      <c r="J61"/>
    </row>
    <row r="62" spans="2:10" x14ac:dyDescent="0.2">
      <c r="B62"/>
      <c r="C62"/>
      <c r="D62"/>
      <c r="E62"/>
      <c r="F62"/>
      <c r="G62"/>
      <c r="H62"/>
      <c r="I62"/>
      <c r="J62"/>
    </row>
    <row r="63" spans="2:10" x14ac:dyDescent="0.2">
      <c r="B63"/>
      <c r="C63"/>
      <c r="D63"/>
      <c r="E63"/>
      <c r="F63"/>
      <c r="G63"/>
      <c r="H63"/>
      <c r="I63"/>
      <c r="J63"/>
    </row>
    <row r="64" spans="2:10" x14ac:dyDescent="0.2">
      <c r="B64"/>
      <c r="C64"/>
      <c r="D64"/>
      <c r="E64"/>
      <c r="F64"/>
      <c r="G64"/>
      <c r="H64"/>
      <c r="I64"/>
      <c r="J64"/>
    </row>
    <row r="65" spans="2:10" x14ac:dyDescent="0.2">
      <c r="B65"/>
      <c r="C65"/>
      <c r="D65"/>
      <c r="E65"/>
      <c r="F65"/>
      <c r="G65"/>
      <c r="H65"/>
      <c r="I65"/>
      <c r="J65"/>
    </row>
    <row r="66" spans="2:10" x14ac:dyDescent="0.2">
      <c r="B66"/>
      <c r="C66"/>
      <c r="D66"/>
      <c r="E66"/>
      <c r="F66"/>
      <c r="G66"/>
      <c r="H66"/>
      <c r="I66"/>
      <c r="J66"/>
    </row>
    <row r="67" spans="2:10" x14ac:dyDescent="0.2">
      <c r="B67"/>
      <c r="C67"/>
      <c r="D67"/>
      <c r="E67"/>
      <c r="F67"/>
      <c r="G67"/>
      <c r="H67"/>
      <c r="I67"/>
      <c r="J67"/>
    </row>
    <row r="68" spans="2:10" x14ac:dyDescent="0.2">
      <c r="B68"/>
      <c r="C68"/>
      <c r="D68"/>
      <c r="E68"/>
      <c r="F68"/>
      <c r="G68"/>
      <c r="H68"/>
      <c r="I68"/>
      <c r="J68"/>
    </row>
    <row r="69" spans="2:10" x14ac:dyDescent="0.2">
      <c r="B69"/>
      <c r="C69"/>
      <c r="D69"/>
      <c r="E69"/>
      <c r="F69"/>
      <c r="G69"/>
      <c r="H69"/>
      <c r="I69"/>
      <c r="J69"/>
    </row>
    <row r="70" spans="2:10" x14ac:dyDescent="0.2">
      <c r="B70"/>
      <c r="C70"/>
      <c r="D70"/>
      <c r="E70"/>
      <c r="F70"/>
      <c r="G70"/>
      <c r="H70"/>
      <c r="I70"/>
      <c r="J70"/>
    </row>
    <row r="71" spans="2:10" x14ac:dyDescent="0.2">
      <c r="B71"/>
      <c r="C71"/>
      <c r="D71"/>
      <c r="E71"/>
      <c r="F71"/>
      <c r="G71"/>
      <c r="H71"/>
      <c r="I71"/>
      <c r="J71"/>
    </row>
    <row r="72" spans="2:10" x14ac:dyDescent="0.2">
      <c r="B72"/>
      <c r="C72"/>
      <c r="D72"/>
      <c r="E72"/>
      <c r="F72"/>
      <c r="G72"/>
      <c r="H72"/>
      <c r="I72"/>
      <c r="J72"/>
    </row>
    <row r="73" spans="2:10" x14ac:dyDescent="0.2">
      <c r="B73"/>
      <c r="C73"/>
      <c r="D73"/>
      <c r="E73"/>
      <c r="F73"/>
      <c r="G73"/>
      <c r="H73"/>
      <c r="I73"/>
      <c r="J73"/>
    </row>
    <row r="74" spans="2:10" x14ac:dyDescent="0.2">
      <c r="B74"/>
      <c r="C74"/>
      <c r="D74"/>
      <c r="E74"/>
      <c r="F74"/>
      <c r="G74"/>
      <c r="H74"/>
      <c r="I74"/>
      <c r="J74"/>
    </row>
    <row r="75" spans="2:10" x14ac:dyDescent="0.2">
      <c r="B75"/>
      <c r="C75"/>
      <c r="D75"/>
      <c r="E75"/>
      <c r="F75"/>
      <c r="G75"/>
      <c r="H75"/>
      <c r="I75"/>
      <c r="J75"/>
    </row>
    <row r="76" spans="2:10" x14ac:dyDescent="0.2">
      <c r="B76"/>
      <c r="C76"/>
      <c r="D76"/>
      <c r="E76"/>
      <c r="F76"/>
      <c r="G76"/>
      <c r="H76"/>
      <c r="I76"/>
      <c r="J76"/>
    </row>
    <row r="77" spans="2:10" x14ac:dyDescent="0.2">
      <c r="B77"/>
      <c r="C77"/>
      <c r="D77"/>
      <c r="E77"/>
      <c r="F77"/>
      <c r="G77"/>
      <c r="H77"/>
      <c r="I77"/>
      <c r="J77"/>
    </row>
    <row r="78" spans="2:10" x14ac:dyDescent="0.2">
      <c r="B78"/>
      <c r="C78"/>
      <c r="D78"/>
      <c r="E78"/>
      <c r="F78"/>
      <c r="G78"/>
      <c r="H78"/>
      <c r="I78"/>
      <c r="J78"/>
    </row>
    <row r="79" spans="2:10" x14ac:dyDescent="0.2">
      <c r="B79"/>
      <c r="C79"/>
      <c r="D79"/>
      <c r="E79"/>
      <c r="F79"/>
      <c r="G79"/>
      <c r="H79"/>
      <c r="I79"/>
      <c r="J79"/>
    </row>
    <row r="80" spans="2:10" x14ac:dyDescent="0.2">
      <c r="B80"/>
      <c r="C80"/>
      <c r="D80"/>
      <c r="E80"/>
      <c r="F80"/>
      <c r="G80"/>
      <c r="H80"/>
      <c r="I80"/>
      <c r="J80"/>
    </row>
    <row r="81" spans="2:10" x14ac:dyDescent="0.2">
      <c r="B81"/>
      <c r="C81"/>
      <c r="D81"/>
      <c r="E81"/>
      <c r="F81"/>
      <c r="G81"/>
      <c r="H81"/>
      <c r="I81"/>
      <c r="J81"/>
    </row>
    <row r="82" spans="2:10" x14ac:dyDescent="0.2">
      <c r="B82"/>
      <c r="C82"/>
      <c r="D82"/>
      <c r="E82"/>
      <c r="F82"/>
      <c r="G82"/>
      <c r="H82"/>
      <c r="I82"/>
      <c r="J82"/>
    </row>
    <row r="83" spans="2:10" x14ac:dyDescent="0.2">
      <c r="B83"/>
      <c r="C83"/>
      <c r="D83"/>
      <c r="E83"/>
      <c r="F83"/>
      <c r="G83"/>
      <c r="H83"/>
      <c r="I83"/>
      <c r="J83"/>
    </row>
    <row r="84" spans="2:10" x14ac:dyDescent="0.2">
      <c r="B84"/>
      <c r="C84"/>
      <c r="D84"/>
      <c r="E84"/>
      <c r="F84"/>
      <c r="G84"/>
      <c r="H84"/>
      <c r="I84"/>
      <c r="J84"/>
    </row>
    <row r="85" spans="2:10" x14ac:dyDescent="0.2">
      <c r="B85"/>
      <c r="C85"/>
      <c r="D85"/>
      <c r="E85"/>
      <c r="F85"/>
      <c r="G85"/>
      <c r="H85"/>
      <c r="I85"/>
      <c r="J85"/>
    </row>
    <row r="86" spans="2:10" x14ac:dyDescent="0.2">
      <c r="B86"/>
      <c r="C86"/>
      <c r="D86"/>
      <c r="E86"/>
      <c r="F86"/>
      <c r="G86"/>
      <c r="H86"/>
      <c r="I86"/>
      <c r="J86"/>
    </row>
    <row r="87" spans="2:10" x14ac:dyDescent="0.2">
      <c r="B87"/>
      <c r="C87"/>
      <c r="D87"/>
      <c r="E87"/>
      <c r="F87"/>
      <c r="G87"/>
      <c r="H87"/>
      <c r="I87"/>
      <c r="J87"/>
    </row>
    <row r="88" spans="2:10" x14ac:dyDescent="0.2">
      <c r="B88"/>
      <c r="C88"/>
      <c r="D88"/>
      <c r="E88"/>
      <c r="F88"/>
      <c r="G88"/>
      <c r="H88"/>
      <c r="I88"/>
      <c r="J88"/>
    </row>
    <row r="89" spans="2:10" x14ac:dyDescent="0.2">
      <c r="B89"/>
      <c r="C89"/>
      <c r="D89"/>
      <c r="E89"/>
      <c r="F89"/>
      <c r="G89"/>
      <c r="H89"/>
      <c r="I89"/>
      <c r="J89"/>
    </row>
    <row r="90" spans="2:10" x14ac:dyDescent="0.2">
      <c r="B90"/>
      <c r="C90"/>
      <c r="D90"/>
      <c r="E90"/>
      <c r="F90"/>
      <c r="G90"/>
      <c r="H90"/>
      <c r="I90"/>
      <c r="J90"/>
    </row>
    <row r="91" spans="2:10" x14ac:dyDescent="0.2">
      <c r="B91"/>
      <c r="C91"/>
      <c r="D91"/>
      <c r="E91"/>
      <c r="F91"/>
      <c r="G91"/>
      <c r="H91"/>
      <c r="I91"/>
      <c r="J91"/>
    </row>
    <row r="92" spans="2:10" x14ac:dyDescent="0.2">
      <c r="B92"/>
      <c r="C92"/>
      <c r="D92"/>
      <c r="E92"/>
      <c r="F92"/>
      <c r="G92"/>
      <c r="H92"/>
      <c r="I92"/>
      <c r="J92"/>
    </row>
    <row r="93" spans="2:10" x14ac:dyDescent="0.2">
      <c r="B93"/>
      <c r="C93"/>
      <c r="D93"/>
      <c r="E93"/>
      <c r="F93"/>
      <c r="G93"/>
      <c r="H93"/>
      <c r="I93"/>
      <c r="J93"/>
    </row>
    <row r="94" spans="2:10" x14ac:dyDescent="0.2">
      <c r="B94"/>
      <c r="C94"/>
      <c r="D94"/>
      <c r="E94"/>
      <c r="F94"/>
      <c r="G94"/>
      <c r="H94"/>
      <c r="I94"/>
      <c r="J94"/>
    </row>
    <row r="95" spans="2:10" x14ac:dyDescent="0.2">
      <c r="B95"/>
      <c r="C95"/>
      <c r="D95"/>
      <c r="E95"/>
      <c r="F95"/>
      <c r="G95"/>
      <c r="H95"/>
      <c r="I95"/>
      <c r="J95"/>
    </row>
    <row r="96" spans="2:10" x14ac:dyDescent="0.2">
      <c r="B96"/>
      <c r="C96"/>
      <c r="D96"/>
      <c r="E96"/>
      <c r="F96"/>
      <c r="G96"/>
      <c r="H96"/>
      <c r="I96"/>
      <c r="J96"/>
    </row>
    <row r="97" spans="2:10" x14ac:dyDescent="0.2">
      <c r="B97"/>
      <c r="C97"/>
      <c r="D97"/>
      <c r="E97"/>
      <c r="F97"/>
      <c r="G97"/>
      <c r="H97"/>
      <c r="I97"/>
      <c r="J97"/>
    </row>
    <row r="98" spans="2:10" x14ac:dyDescent="0.2">
      <c r="B98"/>
      <c r="C98"/>
      <c r="D98"/>
      <c r="E98"/>
      <c r="F98"/>
      <c r="G98"/>
      <c r="H98"/>
      <c r="I98"/>
      <c r="J98"/>
    </row>
    <row r="99" spans="2:10" x14ac:dyDescent="0.2">
      <c r="B99"/>
      <c r="C99"/>
      <c r="D99"/>
      <c r="E99"/>
      <c r="F99"/>
      <c r="G99"/>
      <c r="H99"/>
      <c r="I99"/>
      <c r="J99"/>
    </row>
  </sheetData>
  <mergeCells count="12">
    <mergeCell ref="H20:I20"/>
    <mergeCell ref="D20:G20"/>
    <mergeCell ref="B14:B17"/>
    <mergeCell ref="C22:D22"/>
    <mergeCell ref="E22:H22"/>
    <mergeCell ref="I22:J22"/>
    <mergeCell ref="F21:G21"/>
    <mergeCell ref="G7:H7"/>
    <mergeCell ref="E9:G9"/>
    <mergeCell ref="C9:D9"/>
    <mergeCell ref="D7:F7"/>
    <mergeCell ref="H9:I9"/>
  </mergeCells>
  <phoneticPr fontId="1" type="noConversion"/>
  <pageMargins left="0.7" right="0.7" top="0.75" bottom="0.75" header="0.3" footer="0.3"/>
  <pageSetup paperSize="2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43491-905A-428F-ADDE-F3C900C4ADE4}">
  <sheetPr codeName="Sheet2"/>
  <dimension ref="B1:BC60"/>
  <sheetViews>
    <sheetView tabSelected="1" workbookViewId="0">
      <selection activeCell="S5" sqref="S5"/>
    </sheetView>
  </sheetViews>
  <sheetFormatPr defaultRowHeight="14.25" x14ac:dyDescent="0.2"/>
  <cols>
    <col min="1" max="55" width="4.625" customWidth="1"/>
  </cols>
  <sheetData>
    <row r="1" spans="2:55" x14ac:dyDescent="0.2">
      <c r="B1" s="2"/>
      <c r="C1" s="2"/>
      <c r="D1" s="2"/>
      <c r="F1" s="2"/>
      <c r="G1" s="2"/>
      <c r="H1" s="2"/>
      <c r="P1" s="2"/>
      <c r="R1" s="54" t="s">
        <v>70</v>
      </c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2:55" x14ac:dyDescent="0.2"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N2" s="46" t="s">
        <v>68</v>
      </c>
      <c r="AO2" s="46">
        <v>3</v>
      </c>
      <c r="AP2" s="46"/>
      <c r="AQ2" s="46" t="s">
        <v>69</v>
      </c>
      <c r="AR2" s="46"/>
      <c r="AS2" s="46" t="s">
        <v>68</v>
      </c>
      <c r="AT2" s="46">
        <f>AO2/AQ3</f>
        <v>0.375</v>
      </c>
      <c r="AU2" s="46"/>
      <c r="AV2" s="46"/>
      <c r="AW2" s="46"/>
      <c r="AX2" s="46"/>
      <c r="AY2" s="46"/>
      <c r="AZ2" s="46"/>
      <c r="BA2" s="46"/>
      <c r="BB2" s="46"/>
      <c r="BC2" s="46"/>
    </row>
    <row r="3" spans="2:55" x14ac:dyDescent="0.2">
      <c r="S3" s="2"/>
      <c r="U3" s="2"/>
      <c r="AN3" s="46">
        <v>3</v>
      </c>
      <c r="AO3" s="46">
        <v>2</v>
      </c>
      <c r="AP3" s="46"/>
      <c r="AQ3" s="46">
        <f>AO2+AO3+AN3</f>
        <v>8</v>
      </c>
      <c r="AR3" s="46"/>
      <c r="AS3" s="46">
        <f>AN3/AQ3</f>
        <v>0.375</v>
      </c>
      <c r="AT3" s="46">
        <f>AO3/AQ3</f>
        <v>0.25</v>
      </c>
      <c r="AU3" s="46"/>
      <c r="AV3" s="46"/>
      <c r="AW3" s="46"/>
      <c r="AX3" s="46"/>
      <c r="AY3" s="46"/>
      <c r="AZ3" s="46"/>
      <c r="BA3" s="46"/>
      <c r="BB3" s="46"/>
      <c r="BC3" s="46"/>
    </row>
    <row r="4" spans="2:55" ht="15" thickBot="1" x14ac:dyDescent="0.25">
      <c r="S4" s="40" t="s">
        <v>65</v>
      </c>
      <c r="T4" s="53" t="s">
        <v>62</v>
      </c>
      <c r="U4" s="53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</row>
    <row r="5" spans="2:55" x14ac:dyDescent="0.2">
      <c r="B5" s="43" t="s">
        <v>71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4"/>
      <c r="R5" s="2"/>
      <c r="S5">
        <v>7</v>
      </c>
      <c r="T5" s="41" t="s">
        <v>63</v>
      </c>
      <c r="U5" s="40" t="s">
        <v>64</v>
      </c>
      <c r="W5" s="47" t="s">
        <v>72</v>
      </c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N5" s="46" t="s">
        <v>73</v>
      </c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</row>
    <row r="6" spans="2:55" x14ac:dyDescent="0.2"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</row>
    <row r="7" spans="2:55" x14ac:dyDescent="0.2">
      <c r="B7" s="43">
        <f ca="1">INT(B26/360*$S$5)</f>
        <v>0</v>
      </c>
      <c r="C7" s="43">
        <f ca="1">INT(C26/360*$S$5)</f>
        <v>1</v>
      </c>
      <c r="D7" s="43">
        <f t="shared" ref="D7:Q7" ca="1" si="0">INT(D26/360*$S$5)</f>
        <v>0</v>
      </c>
      <c r="E7" s="43">
        <f ca="1">INT(E26/360*$S$5)</f>
        <v>-2</v>
      </c>
      <c r="F7" s="43">
        <f t="shared" ca="1" si="0"/>
        <v>-2</v>
      </c>
      <c r="G7" s="43">
        <f t="shared" ca="1" si="0"/>
        <v>-2</v>
      </c>
      <c r="H7" s="43">
        <f t="shared" ca="1" si="0"/>
        <v>-3</v>
      </c>
      <c r="I7" s="43">
        <f t="shared" ca="1" si="0"/>
        <v>-2</v>
      </c>
      <c r="J7" s="43">
        <f t="shared" ca="1" si="0"/>
        <v>2</v>
      </c>
      <c r="K7" s="43">
        <f t="shared" ca="1" si="0"/>
        <v>-1</v>
      </c>
      <c r="L7" s="43">
        <f t="shared" ca="1" si="0"/>
        <v>-3</v>
      </c>
      <c r="M7" s="43">
        <f t="shared" ca="1" si="0"/>
        <v>-3</v>
      </c>
      <c r="N7" s="43">
        <f t="shared" ca="1" si="0"/>
        <v>1</v>
      </c>
      <c r="O7" s="43">
        <f t="shared" ca="1" si="0"/>
        <v>1</v>
      </c>
      <c r="P7" s="43">
        <f t="shared" ca="1" si="0"/>
        <v>-2</v>
      </c>
      <c r="Q7" s="43">
        <f t="shared" ca="1" si="0"/>
        <v>2</v>
      </c>
      <c r="S7">
        <f>-($S$5-MOD($S$5,2))/2</f>
        <v>-3</v>
      </c>
      <c r="T7">
        <f>S7/$S$5*360</f>
        <v>-154.28571428571428</v>
      </c>
      <c r="U7">
        <v>-102.85714285714285</v>
      </c>
      <c r="W7" s="47">
        <f ca="1">INT(AN7/360*$S$5+$S$7)</f>
        <v>0</v>
      </c>
      <c r="X7" s="47">
        <f t="shared" ref="X7:AJ7" ca="1" si="1">INT(AO7/360*$S$5+$S$7)</f>
        <v>1</v>
      </c>
      <c r="Y7" s="47">
        <f t="shared" ca="1" si="1"/>
        <v>0</v>
      </c>
      <c r="Z7" s="47">
        <f t="shared" ca="1" si="1"/>
        <v>-2</v>
      </c>
      <c r="AA7" s="47">
        <f t="shared" ca="1" si="1"/>
        <v>-2</v>
      </c>
      <c r="AB7" s="47">
        <f t="shared" ca="1" si="1"/>
        <v>-2</v>
      </c>
      <c r="AC7" s="47">
        <f t="shared" ca="1" si="1"/>
        <v>-3</v>
      </c>
      <c r="AD7" s="47">
        <f t="shared" ca="1" si="1"/>
        <v>-2</v>
      </c>
      <c r="AE7" s="47">
        <f t="shared" ca="1" si="1"/>
        <v>2</v>
      </c>
      <c r="AF7" s="47">
        <f t="shared" ca="1" si="1"/>
        <v>-1</v>
      </c>
      <c r="AG7" s="47">
        <f t="shared" ca="1" si="1"/>
        <v>-3</v>
      </c>
      <c r="AH7" s="47">
        <f t="shared" ca="1" si="1"/>
        <v>-3</v>
      </c>
      <c r="AI7" s="47">
        <f t="shared" ca="1" si="1"/>
        <v>1</v>
      </c>
      <c r="AJ7" s="47">
        <f t="shared" ca="1" si="1"/>
        <v>1</v>
      </c>
      <c r="AK7" s="47">
        <f t="shared" ref="AK7" ca="1" si="2">INT(BB7/360*$S$5+$S$7)</f>
        <v>-2</v>
      </c>
      <c r="AL7" s="47">
        <f ca="1">INT(BC7/360*$S$5+$S$7)</f>
        <v>2</v>
      </c>
      <c r="AN7" s="46">
        <f ca="1">$B$45</f>
        <v>173.60669355037601</v>
      </c>
      <c r="AO7" s="46">
        <f ca="1">IF(C45+MOD(AN7,$S$5)*$AT$2&gt;360,C45+MOD(AN7,$S$5)*$AT$2-360,C45+MOD(AN7,$S$5)*$AT$2)</f>
        <v>255.85026302195007</v>
      </c>
      <c r="AP7" s="46">
        <f t="shared" ref="AP7:BC7" ca="1" si="3">IF(D45+MOD(AO7,$S$5)*$AT$2&gt;360,D45+MOD(AO7,$S$5)*$AT$2-360,D45+MOD(AO7,$S$5)*$AT$2)</f>
        <v>200.73519631841739</v>
      </c>
      <c r="AQ7" s="46">
        <f t="shared" ca="1" si="3"/>
        <v>93.301582110833536</v>
      </c>
      <c r="AR7" s="46">
        <f t="shared" ca="1" si="3"/>
        <v>54.046144344018089</v>
      </c>
      <c r="AS7" s="46">
        <f t="shared" ca="1" si="3"/>
        <v>65.31931722195489</v>
      </c>
      <c r="AT7" s="46">
        <f t="shared" ca="1" si="3"/>
        <v>27.498032079614863</v>
      </c>
      <c r="AU7" s="46">
        <f t="shared" ca="1" si="3"/>
        <v>55.236512095694827</v>
      </c>
      <c r="AV7" s="46">
        <f t="shared" ca="1" si="3"/>
        <v>304.46651493265267</v>
      </c>
      <c r="AW7" s="46">
        <f t="shared" ca="1" si="3"/>
        <v>107.90445576865631</v>
      </c>
      <c r="AX7" s="46">
        <f t="shared" ca="1" si="3"/>
        <v>16.12802366326471</v>
      </c>
      <c r="AY7" s="46">
        <f t="shared" ca="1" si="3"/>
        <v>22.85368547035559</v>
      </c>
      <c r="AZ7" s="46">
        <f t="shared" ca="1" si="3"/>
        <v>222.62162131615477</v>
      </c>
      <c r="BA7" s="46">
        <f t="shared" ca="1" si="3"/>
        <v>238.27762448125847</v>
      </c>
      <c r="BB7" s="46">
        <f t="shared" ca="1" si="3"/>
        <v>77.859252413144645</v>
      </c>
      <c r="BC7" s="46">
        <f t="shared" ca="1" si="3"/>
        <v>300.78579965823491</v>
      </c>
    </row>
    <row r="8" spans="2:55" x14ac:dyDescent="0.2">
      <c r="B8" s="43">
        <f t="shared" ref="B8:Q8" ca="1" si="4">INT(B27/360*$S$5)</f>
        <v>-2</v>
      </c>
      <c r="C8" s="43">
        <f t="shared" ca="1" si="4"/>
        <v>-3</v>
      </c>
      <c r="D8" s="43">
        <f t="shared" ca="1" si="4"/>
        <v>3</v>
      </c>
      <c r="E8" s="43">
        <f t="shared" ca="1" si="4"/>
        <v>3</v>
      </c>
      <c r="F8" s="43">
        <f t="shared" ca="1" si="4"/>
        <v>-2</v>
      </c>
      <c r="G8" s="43">
        <f t="shared" ca="1" si="4"/>
        <v>2</v>
      </c>
      <c r="H8" s="43">
        <f t="shared" ca="1" si="4"/>
        <v>2</v>
      </c>
      <c r="I8" s="43">
        <f t="shared" ca="1" si="4"/>
        <v>-1</v>
      </c>
      <c r="J8" s="43">
        <f t="shared" ca="1" si="4"/>
        <v>-1</v>
      </c>
      <c r="K8" s="43">
        <f t="shared" ca="1" si="4"/>
        <v>1</v>
      </c>
      <c r="L8" s="43">
        <f t="shared" ca="1" si="4"/>
        <v>0</v>
      </c>
      <c r="M8" s="43">
        <f t="shared" ca="1" si="4"/>
        <v>-3</v>
      </c>
      <c r="N8" s="43">
        <f t="shared" ca="1" si="4"/>
        <v>1</v>
      </c>
      <c r="O8" s="43">
        <f t="shared" ca="1" si="4"/>
        <v>3</v>
      </c>
      <c r="P8" s="43">
        <f t="shared" ca="1" si="4"/>
        <v>2</v>
      </c>
      <c r="Q8" s="43">
        <f t="shared" ca="1" si="4"/>
        <v>3</v>
      </c>
      <c r="S8">
        <v>-2</v>
      </c>
      <c r="T8">
        <v>-102.85714285714285</v>
      </c>
      <c r="U8">
        <v>-51.428571428571423</v>
      </c>
      <c r="W8" s="47">
        <f t="shared" ref="W8:W22" ca="1" si="5">INT(AN8/360*$S$5+$S$7)</f>
        <v>-2</v>
      </c>
      <c r="X8" s="47">
        <f t="shared" ref="X8:X22" ca="1" si="6">INT(AO8/360*$S$5+$S$7)</f>
        <v>-3</v>
      </c>
      <c r="Y8" s="47">
        <f t="shared" ref="Y8:Y22" ca="1" si="7">INT(AP8/360*$S$5+$S$7)</f>
        <v>3</v>
      </c>
      <c r="Z8" s="47">
        <f t="shared" ref="Z8:Z22" ca="1" si="8">INT(AQ8/360*$S$5+$S$7)</f>
        <v>3</v>
      </c>
      <c r="AA8" s="47">
        <f t="shared" ref="AA8:AA22" ca="1" si="9">INT(AR8/360*$S$5+$S$7)</f>
        <v>-2</v>
      </c>
      <c r="AB8" s="47">
        <f t="shared" ref="AB8:AB22" ca="1" si="10">INT(AS8/360*$S$5+$S$7)</f>
        <v>2</v>
      </c>
      <c r="AC8" s="47">
        <f t="shared" ref="AC8:AC22" ca="1" si="11">INT(AT8/360*$S$5+$S$7)</f>
        <v>2</v>
      </c>
      <c r="AD8" s="47">
        <f t="shared" ref="AD8:AD22" ca="1" si="12">INT(AU8/360*$S$5+$S$7)</f>
        <v>-1</v>
      </c>
      <c r="AE8" s="47">
        <f t="shared" ref="AE8:AE22" ca="1" si="13">INT(AV8/360*$S$5+$S$7)</f>
        <v>-1</v>
      </c>
      <c r="AF8" s="47">
        <f t="shared" ref="AF8:AF22" ca="1" si="14">INT(AW8/360*$S$5+$S$7)</f>
        <v>1</v>
      </c>
      <c r="AG8" s="47">
        <f t="shared" ref="AG8:AG22" ca="1" si="15">INT(AX8/360*$S$5+$S$7)</f>
        <v>0</v>
      </c>
      <c r="AH8" s="47">
        <f t="shared" ref="AH8:AH22" ca="1" si="16">INT(AY8/360*$S$5+$S$7)</f>
        <v>-3</v>
      </c>
      <c r="AI8" s="47">
        <f t="shared" ref="AI8:AI22" ca="1" si="17">INT(AZ8/360*$S$5+$S$7)</f>
        <v>1</v>
      </c>
      <c r="AJ8" s="47">
        <f t="shared" ref="AJ8:AJ22" ca="1" si="18">INT(BA8/360*$S$5+$S$7)</f>
        <v>3</v>
      </c>
      <c r="AK8" s="47">
        <f t="shared" ref="AK8:AK22" ca="1" si="19">INT(BB8/360*$S$5+$S$7)</f>
        <v>2</v>
      </c>
      <c r="AL8" s="47">
        <f t="shared" ref="AL8:AL22" ca="1" si="20">INT(BC8/360*$S$5+$S$7)</f>
        <v>3</v>
      </c>
      <c r="AN8" s="46">
        <f ca="1">IF(B46+MOD(AN7,$S$5)*$AS$3&gt;360,B46+MOD(AN7,$S$5)*$AS$3-360,B46+MOD(AN7,$S$5)*$AS$3)</f>
        <v>82.662956610235284</v>
      </c>
      <c r="AO8" s="46">
        <f ca="1">IF(C46+MOD(AN8,$S$5)*$AT$2+MOD(AO7,$S$5)*$AS$3+MOD(AN7,$S$5)*$AT$3&gt;360,C46+MOD(AN8,$S$5)*$AT$2+MOD(AO7,$S$5)*$AS$3+MOD(AN7,$S$5)*$AT$3-360,C46+MOD(AN8,$S$5)*$AT$2+MOD(AO7,$S$5)*$AS$3+MOD(AN7,$S$5)*$AT$3)</f>
        <v>28.777277017870073</v>
      </c>
      <c r="AP8" s="46">
        <f t="shared" ref="AP8:BC8" ca="1" si="21">IF(D46+MOD(AO8,$S$5)*$AT$2+MOD(AP7,$S$5)*$AS$3+MOD(AO7,$S$5)*$AT$3&gt;360,D46+MOD(AO8,$S$5)*$AT$2+MOD(AP7,$S$5)*$AS$3+MOD(AO7,$S$5)*$AT$3-360,D46+MOD(AO8,$S$5)*$AT$2+MOD(AP7,$S$5)*$AS$3+MOD(AO7,$S$5)*$AT$3)</f>
        <v>350.57035588660284</v>
      </c>
      <c r="AQ8" s="46">
        <f t="shared" ca="1" si="21"/>
        <v>319.26952798107402</v>
      </c>
      <c r="AR8" s="46">
        <f t="shared" ca="1" si="21"/>
        <v>90.483650097491491</v>
      </c>
      <c r="AS8" s="46">
        <f t="shared" ca="1" si="21"/>
        <v>283.25704808441679</v>
      </c>
      <c r="AT8" s="46">
        <f t="shared" ca="1" si="21"/>
        <v>267.89662851035484</v>
      </c>
      <c r="AU8" s="46">
        <f t="shared" ca="1" si="21"/>
        <v>120.78895293911462</v>
      </c>
      <c r="AV8" s="46">
        <f t="shared" ca="1" si="21"/>
        <v>131.97294089048907</v>
      </c>
      <c r="AW8" s="46">
        <f t="shared" ca="1" si="21"/>
        <v>251.38758904266513</v>
      </c>
      <c r="AX8" s="46">
        <f t="shared" ca="1" si="21"/>
        <v>194.5676507501359</v>
      </c>
      <c r="AY8" s="46">
        <f t="shared" ca="1" si="21"/>
        <v>38.103525105912624</v>
      </c>
      <c r="AZ8" s="46">
        <f t="shared" ca="1" si="21"/>
        <v>224.70311685050697</v>
      </c>
      <c r="BA8" s="46">
        <f t="shared" ca="1" si="21"/>
        <v>350.55597767276834</v>
      </c>
      <c r="BB8" s="46">
        <f t="shared" ca="1" si="21"/>
        <v>288.81262129300683</v>
      </c>
      <c r="BC8" s="46">
        <f t="shared" ca="1" si="21"/>
        <v>343.17074675853678</v>
      </c>
    </row>
    <row r="9" spans="2:55" x14ac:dyDescent="0.2">
      <c r="B9" s="43">
        <f t="shared" ref="B9:Q9" ca="1" si="22">INT(B28/360*$S$5)</f>
        <v>-3</v>
      </c>
      <c r="C9" s="43">
        <f t="shared" ca="1" si="22"/>
        <v>-3</v>
      </c>
      <c r="D9" s="43">
        <f t="shared" ca="1" si="22"/>
        <v>-2</v>
      </c>
      <c r="E9" s="43">
        <f t="shared" ca="1" si="22"/>
        <v>0</v>
      </c>
      <c r="F9" s="43">
        <f t="shared" ca="1" si="22"/>
        <v>-2</v>
      </c>
      <c r="G9" s="43">
        <f t="shared" ca="1" si="22"/>
        <v>-1</v>
      </c>
      <c r="H9" s="43">
        <f t="shared" ca="1" si="22"/>
        <v>1</v>
      </c>
      <c r="I9" s="43">
        <f t="shared" ca="1" si="22"/>
        <v>2</v>
      </c>
      <c r="J9" s="43">
        <f t="shared" ca="1" si="22"/>
        <v>2</v>
      </c>
      <c r="K9" s="43">
        <f t="shared" ca="1" si="22"/>
        <v>-2</v>
      </c>
      <c r="L9" s="43">
        <f t="shared" ca="1" si="22"/>
        <v>-1</v>
      </c>
      <c r="M9" s="43">
        <f t="shared" ca="1" si="22"/>
        <v>3</v>
      </c>
      <c r="N9" s="43">
        <f t="shared" ca="1" si="22"/>
        <v>2</v>
      </c>
      <c r="O9" s="43">
        <f t="shared" ca="1" si="22"/>
        <v>-3</v>
      </c>
      <c r="P9" s="43">
        <f t="shared" ca="1" si="22"/>
        <v>3</v>
      </c>
      <c r="Q9" s="43">
        <f t="shared" ca="1" si="22"/>
        <v>-2</v>
      </c>
      <c r="S9">
        <v>-1</v>
      </c>
      <c r="T9">
        <v>-51.428571428571423</v>
      </c>
      <c r="U9">
        <v>0</v>
      </c>
      <c r="W9" s="47">
        <f t="shared" ca="1" si="5"/>
        <v>-3</v>
      </c>
      <c r="X9" s="47">
        <f t="shared" ca="1" si="6"/>
        <v>-3</v>
      </c>
      <c r="Y9" s="47">
        <f t="shared" ca="1" si="7"/>
        <v>-2</v>
      </c>
      <c r="Z9" s="47">
        <f t="shared" ca="1" si="8"/>
        <v>0</v>
      </c>
      <c r="AA9" s="47">
        <f t="shared" ca="1" si="9"/>
        <v>-2</v>
      </c>
      <c r="AB9" s="47">
        <f t="shared" ca="1" si="10"/>
        <v>-1</v>
      </c>
      <c r="AC9" s="47">
        <f t="shared" ca="1" si="11"/>
        <v>1</v>
      </c>
      <c r="AD9" s="47">
        <f t="shared" ca="1" si="12"/>
        <v>2</v>
      </c>
      <c r="AE9" s="47">
        <f t="shared" ca="1" si="13"/>
        <v>2</v>
      </c>
      <c r="AF9" s="47">
        <f t="shared" ca="1" si="14"/>
        <v>-2</v>
      </c>
      <c r="AG9" s="47">
        <f t="shared" ca="1" si="15"/>
        <v>0</v>
      </c>
      <c r="AH9" s="47">
        <f t="shared" ca="1" si="16"/>
        <v>3</v>
      </c>
      <c r="AI9" s="47">
        <f t="shared" ca="1" si="17"/>
        <v>2</v>
      </c>
      <c r="AJ9" s="47">
        <f t="shared" ca="1" si="18"/>
        <v>-3</v>
      </c>
      <c r="AK9" s="47">
        <f t="shared" ca="1" si="19"/>
        <v>3</v>
      </c>
      <c r="AL9" s="47">
        <f t="shared" ca="1" si="20"/>
        <v>-1</v>
      </c>
      <c r="AN9" s="46">
        <f t="shared" ref="AN9:AN22" ca="1" si="23">IF(B47+MOD(AN8,$S$5)*$AS$3&gt;360,B47+MOD(AN8,$S$5)*$AS$3-360,B47+MOD(AN8,$S$5)*$AS$3)</f>
        <v>20.812646908376298</v>
      </c>
      <c r="AO9" s="46">
        <f t="shared" ref="AO9:AO22" ca="1" si="24">IF(C47+MOD(AN9,$S$5)*$AT$2+MOD(AO8,$S$5)*$AS$3+MOD(AN8,$S$5)*$AT$3&gt;360,C47+MOD(AN9,$S$5)*$AT$2+MOD(AO8,$S$5)*$AS$3+MOD(AN8,$S$5)*$AT$3-360,C47+MOD(AN9,$S$5)*$AT$2+MOD(AO8,$S$5)*$AS$3+MOD(AN8,$S$5)*$AT$3)</f>
        <v>46.475947294832096</v>
      </c>
      <c r="AP9" s="46">
        <f t="shared" ref="AP9:AP22" ca="1" si="25">IF(D47+MOD(AO9,$S$5)*$AT$2+MOD(AP8,$S$5)*$AS$3+MOD(AO8,$S$5)*$AT$3&gt;360,D47+MOD(AO9,$S$5)*$AT$2+MOD(AP8,$S$5)*$AS$3+MOD(AO8,$S$5)*$AT$3-360,D47+MOD(AO9,$S$5)*$AT$2+MOD(AP8,$S$5)*$AS$3+MOD(AO8,$S$5)*$AT$3)</f>
        <v>82.754620873393421</v>
      </c>
      <c r="AQ9" s="46">
        <f t="shared" ref="AQ9:AQ22" ca="1" si="26">IF(E47+MOD(AP9,$S$5)*$AT$2+MOD(AQ8,$S$5)*$AS$3+MOD(AP8,$S$5)*$AT$3&gt;360,E47+MOD(AP9,$S$5)*$AT$2+MOD(AQ8,$S$5)*$AS$3+MOD(AP8,$S$5)*$AT$3-360,E47+MOD(AP9,$S$5)*$AT$2+MOD(AQ8,$S$5)*$AS$3+MOD(AP8,$S$5)*$AT$3)</f>
        <v>197.87553231318901</v>
      </c>
      <c r="AR9" s="46">
        <f t="shared" ref="AR9:AR22" ca="1" si="27">IF(F47+MOD(AQ9,$S$5)*$AT$2+MOD(AR8,$S$5)*$AS$3+MOD(AQ8,$S$5)*$AT$3&gt;360,F47+MOD(AQ9,$S$5)*$AT$2+MOD(AR8,$S$5)*$AS$3+MOD(AQ8,$S$5)*$AT$3-360,F47+MOD(AQ9,$S$5)*$AT$2+MOD(AR8,$S$5)*$AS$3+MOD(AQ8,$S$5)*$AT$3)</f>
        <v>63.097102916097576</v>
      </c>
      <c r="AS9" s="46">
        <f t="shared" ref="AS9:AS22" ca="1" si="28">IF(G47+MOD(AR9,$S$5)*$AT$2+MOD(AS8,$S$5)*$AS$3+MOD(AR8,$S$5)*$AT$3&gt;360,G47+MOD(AR9,$S$5)*$AT$2+MOD(AS8,$S$5)*$AS$3+MOD(AR8,$S$5)*$AT$3-360,G47+MOD(AR9,$S$5)*$AT$2+MOD(AS8,$S$5)*$AS$3+MOD(AR8,$S$5)*$AT$3)</f>
        <v>125.61299619440328</v>
      </c>
      <c r="AT9" s="46">
        <f t="shared" ref="AT9:AT22" ca="1" si="29">IF(H47+MOD(AS9,$S$5)*$AT$2+MOD(AT8,$S$5)*$AS$3+MOD(AS8,$S$5)*$AT$3&gt;360,H47+MOD(AS9,$S$5)*$AT$2+MOD(AT8,$S$5)*$AS$3+MOD(AS8,$S$5)*$AT$3-360,H47+MOD(AS9,$S$5)*$AT$2+MOD(AT8,$S$5)*$AS$3+MOD(AS8,$S$5)*$AT$3)</f>
        <v>222.08618673411536</v>
      </c>
      <c r="AU9" s="46">
        <f t="shared" ref="AU9:AU22" ca="1" si="30">IF(I47+MOD(AT9,$S$5)*$AT$2+MOD(AU8,$S$5)*$AS$3+MOD(AT8,$S$5)*$AT$3&gt;360,I47+MOD(AT9,$S$5)*$AT$2+MOD(AU8,$S$5)*$AS$3+MOD(AT8,$S$5)*$AT$3-360,I47+MOD(AT9,$S$5)*$AT$2+MOD(AU8,$S$5)*$AS$3+MOD(AT8,$S$5)*$AT$3)</f>
        <v>304.53235683375897</v>
      </c>
      <c r="AV9" s="46">
        <f t="shared" ref="AV9:AV22" ca="1" si="31">IF(J47+MOD(AU9,$S$5)*$AT$2+MOD(AV8,$S$5)*$AS$3+MOD(AU8,$S$5)*$AT$3&gt;360,J47+MOD(AU9,$S$5)*$AT$2+MOD(AV8,$S$5)*$AS$3+MOD(AU8,$S$5)*$AT$3-360,J47+MOD(AU9,$S$5)*$AT$2+MOD(AV8,$S$5)*$AS$3+MOD(AU8,$S$5)*$AT$3)</f>
        <v>280.81426983498295</v>
      </c>
      <c r="AW9" s="46">
        <f t="shared" ref="AW9:AW22" ca="1" si="32">IF(K47+MOD(AV9,$S$5)*$AT$2+MOD(AW8,$S$5)*$AS$3+MOD(AV8,$S$5)*$AT$3&gt;360,K47+MOD(AV9,$S$5)*$AT$2+MOD(AW8,$S$5)*$AS$3+MOD(AV8,$S$5)*$AT$3-360,K47+MOD(AV9,$S$5)*$AT$2+MOD(AW8,$S$5)*$AS$3+MOD(AV8,$S$5)*$AT$3)</f>
        <v>84.277144173725361</v>
      </c>
      <c r="AX9" s="46">
        <f t="shared" ref="AX9:AX22" ca="1" si="33">IF(L47+MOD(AW9,$S$5)*$AT$2+MOD(AX8,$S$5)*$AS$3+MOD(AW8,$S$5)*$AT$3&gt;360,L47+MOD(AW9,$S$5)*$AT$2+MOD(AX8,$S$5)*$AS$3+MOD(AW8,$S$5)*$AT$3-360,L47+MOD(AW9,$S$5)*$AT$2+MOD(AX8,$S$5)*$AS$3+MOD(AW8,$S$5)*$AT$3)</f>
        <v>157.20854638002834</v>
      </c>
      <c r="AY9" s="46">
        <f t="shared" ref="AY9:AY22" ca="1" si="34">IF(M47+MOD(AX9,$S$5)*$AT$2+MOD(AY8,$S$5)*$AS$3+MOD(AX8,$S$5)*$AT$3&gt;360,M47+MOD(AX9,$S$5)*$AT$2+MOD(AY8,$S$5)*$AS$3+MOD(AX8,$S$5)*$AT$3-360,M47+MOD(AX9,$S$5)*$AT$2+MOD(AY8,$S$5)*$AS$3+MOD(AX8,$S$5)*$AT$3)</f>
        <v>326.7335349670164</v>
      </c>
      <c r="AZ9" s="46">
        <f t="shared" ref="AZ9:AZ22" ca="1" si="35">IF(N47+MOD(AY9,$S$5)*$AT$2+MOD(AZ8,$S$5)*$AS$3+MOD(AY8,$S$5)*$AT$3&gt;360,N47+MOD(AY9,$S$5)*$AT$2+MOD(AZ8,$S$5)*$AS$3+MOD(AY8,$S$5)*$AT$3-360,N47+MOD(AY9,$S$5)*$AT$2+MOD(AZ8,$S$5)*$AS$3+MOD(AY8,$S$5)*$AT$3)</f>
        <v>303.87561561864879</v>
      </c>
      <c r="BA9" s="46">
        <f t="shared" ref="BA9:BA22" ca="1" si="36">IF(O47+MOD(AZ9,$S$5)*$AT$2+MOD(BA8,$S$5)*$AS$3+MOD(AZ8,$S$5)*$AT$3&gt;360,O47+MOD(AZ9,$S$5)*$AT$2+MOD(BA8,$S$5)*$AS$3+MOD(AZ8,$S$5)*$AT$3-360,O47+MOD(AZ9,$S$5)*$AT$2+MOD(BA8,$S$5)*$AS$3+MOD(AZ8,$S$5)*$AT$3)</f>
        <v>4.1166242408049269</v>
      </c>
      <c r="BB9" s="46">
        <f t="shared" ref="BB9:BB22" ca="1" si="37">IF(P47+MOD(BA9,$S$5)*$AT$2+MOD(BB8,$S$5)*$AS$3+MOD(BA8,$S$5)*$AT$3&gt;360,P47+MOD(BA9,$S$5)*$AT$2+MOD(BB8,$S$5)*$AS$3+MOD(BA8,$S$5)*$AT$3-360,P47+MOD(BA9,$S$5)*$AT$2+MOD(BB8,$S$5)*$AS$3+MOD(BA8,$S$5)*$AT$3)</f>
        <v>351.70086063565702</v>
      </c>
      <c r="BC9" s="46">
        <f t="shared" ref="BC9:BC22" ca="1" si="38">IF(Q47+MOD(BB9,$S$5)*$AT$2+MOD(BC8,$S$5)*$AS$3+MOD(BB8,$S$5)*$AT$3&gt;360,Q47+MOD(BB9,$S$5)*$AT$2+MOD(BC8,$S$5)*$AS$3+MOD(BB8,$S$5)*$AT$3-360,Q47+MOD(BB9,$S$5)*$AT$2+MOD(BC8,$S$5)*$AS$3+MOD(BB8,$S$5)*$AT$3)</f>
        <v>103.6169972952451</v>
      </c>
    </row>
    <row r="10" spans="2:55" x14ac:dyDescent="0.2">
      <c r="B10" s="43">
        <f t="shared" ref="B10:Q10" ca="1" si="39">INT(B29/360*$S$5)</f>
        <v>-1</v>
      </c>
      <c r="C10" s="43">
        <f t="shared" ca="1" si="39"/>
        <v>1</v>
      </c>
      <c r="D10" s="43">
        <f t="shared" ca="1" si="39"/>
        <v>2</v>
      </c>
      <c r="E10" s="43">
        <f t="shared" ca="1" si="39"/>
        <v>-3</v>
      </c>
      <c r="F10" s="43">
        <f t="shared" ca="1" si="39"/>
        <v>-2</v>
      </c>
      <c r="G10" s="43">
        <f t="shared" ca="1" si="39"/>
        <v>-2</v>
      </c>
      <c r="H10" s="43">
        <f t="shared" ca="1" si="39"/>
        <v>1</v>
      </c>
      <c r="I10" s="43">
        <f t="shared" ca="1" si="39"/>
        <v>0</v>
      </c>
      <c r="J10" s="43">
        <f t="shared" ca="1" si="39"/>
        <v>1</v>
      </c>
      <c r="K10" s="43">
        <f t="shared" ca="1" si="39"/>
        <v>2</v>
      </c>
      <c r="L10" s="43">
        <f t="shared" ca="1" si="39"/>
        <v>-1</v>
      </c>
      <c r="M10" s="43">
        <f t="shared" ca="1" si="39"/>
        <v>-1</v>
      </c>
      <c r="N10" s="43">
        <f t="shared" ca="1" si="39"/>
        <v>-1</v>
      </c>
      <c r="O10" s="43">
        <f t="shared" ca="1" si="39"/>
        <v>-2</v>
      </c>
      <c r="P10" s="43">
        <f t="shared" ca="1" si="39"/>
        <v>1</v>
      </c>
      <c r="Q10" s="43">
        <f t="shared" ca="1" si="39"/>
        <v>0</v>
      </c>
      <c r="S10">
        <v>0</v>
      </c>
      <c r="T10">
        <v>0</v>
      </c>
      <c r="U10">
        <v>51.428571428571423</v>
      </c>
      <c r="W10" s="47">
        <f t="shared" ca="1" si="5"/>
        <v>-1</v>
      </c>
      <c r="X10" s="47">
        <f t="shared" ca="1" si="6"/>
        <v>1</v>
      </c>
      <c r="Y10" s="47">
        <f t="shared" ca="1" si="7"/>
        <v>2</v>
      </c>
      <c r="Z10" s="47">
        <f t="shared" ca="1" si="8"/>
        <v>-3</v>
      </c>
      <c r="AA10" s="47">
        <f t="shared" ca="1" si="9"/>
        <v>-2</v>
      </c>
      <c r="AB10" s="47">
        <f t="shared" ca="1" si="10"/>
        <v>-2</v>
      </c>
      <c r="AC10" s="47">
        <f t="shared" ca="1" si="11"/>
        <v>1</v>
      </c>
      <c r="AD10" s="47">
        <f t="shared" ca="1" si="12"/>
        <v>0</v>
      </c>
      <c r="AE10" s="47">
        <f t="shared" ca="1" si="13"/>
        <v>1</v>
      </c>
      <c r="AF10" s="47">
        <f t="shared" ca="1" si="14"/>
        <v>2</v>
      </c>
      <c r="AG10" s="47">
        <f t="shared" ca="1" si="15"/>
        <v>-1</v>
      </c>
      <c r="AH10" s="47">
        <f t="shared" ca="1" si="16"/>
        <v>-1</v>
      </c>
      <c r="AI10" s="47">
        <f t="shared" ca="1" si="17"/>
        <v>-1</v>
      </c>
      <c r="AJ10" s="47">
        <f t="shared" ca="1" si="18"/>
        <v>-2</v>
      </c>
      <c r="AK10" s="47">
        <f t="shared" ca="1" si="19"/>
        <v>1</v>
      </c>
      <c r="AL10" s="47">
        <f t="shared" ca="1" si="20"/>
        <v>0</v>
      </c>
      <c r="AN10" s="46">
        <f t="shared" ca="1" si="23"/>
        <v>126.17473464606495</v>
      </c>
      <c r="AO10" s="46">
        <f t="shared" ca="1" si="24"/>
        <v>250.25424142049306</v>
      </c>
      <c r="AP10" s="46">
        <f t="shared" ca="1" si="25"/>
        <v>288.73345598486378</v>
      </c>
      <c r="AQ10" s="46">
        <f t="shared" ca="1" si="26"/>
        <v>14.282336022609739</v>
      </c>
      <c r="AR10" s="46">
        <f t="shared" ca="1" si="27"/>
        <v>69.239513646250728</v>
      </c>
      <c r="AS10" s="46">
        <f t="shared" ca="1" si="28"/>
        <v>59.902409630605504</v>
      </c>
      <c r="AT10" s="46">
        <f t="shared" ca="1" si="29"/>
        <v>244.56613980408375</v>
      </c>
      <c r="AU10" s="46">
        <f t="shared" ca="1" si="30"/>
        <v>204.42521886759477</v>
      </c>
      <c r="AV10" s="46">
        <f t="shared" ca="1" si="31"/>
        <v>214.44246536209769</v>
      </c>
      <c r="AW10" s="46">
        <f t="shared" ca="1" si="32"/>
        <v>261.72677782365275</v>
      </c>
      <c r="AX10" s="46">
        <f t="shared" ca="1" si="33"/>
        <v>143.55335967766172</v>
      </c>
      <c r="AY10" s="46">
        <f t="shared" ca="1" si="34"/>
        <v>142.6267945421281</v>
      </c>
      <c r="AZ10" s="46">
        <f t="shared" ca="1" si="35"/>
        <v>120.52315560989882</v>
      </c>
      <c r="BA10" s="46">
        <f t="shared" ca="1" si="36"/>
        <v>89.570262088458861</v>
      </c>
      <c r="BB10" s="46">
        <f t="shared" ca="1" si="37"/>
        <v>256.5889147177017</v>
      </c>
      <c r="BC10" s="46">
        <f t="shared" ca="1" si="38"/>
        <v>191.40711040956776</v>
      </c>
    </row>
    <row r="11" spans="2:55" x14ac:dyDescent="0.2">
      <c r="B11" s="43">
        <f t="shared" ref="B11:Q11" ca="1" si="40">INT(B30/360*$S$5)</f>
        <v>-3</v>
      </c>
      <c r="C11" s="43">
        <f t="shared" ca="1" si="40"/>
        <v>3</v>
      </c>
      <c r="D11" s="43">
        <f t="shared" ca="1" si="40"/>
        <v>-1</v>
      </c>
      <c r="E11" s="43">
        <f t="shared" ca="1" si="40"/>
        <v>-1</v>
      </c>
      <c r="F11" s="43">
        <f t="shared" ca="1" si="40"/>
        <v>-2</v>
      </c>
      <c r="G11" s="43">
        <f t="shared" ca="1" si="40"/>
        <v>3</v>
      </c>
      <c r="H11" s="43">
        <f t="shared" ca="1" si="40"/>
        <v>-1</v>
      </c>
      <c r="I11" s="43">
        <f t="shared" ca="1" si="40"/>
        <v>0</v>
      </c>
      <c r="J11" s="43">
        <f t="shared" ca="1" si="40"/>
        <v>1</v>
      </c>
      <c r="K11" s="43">
        <f t="shared" ca="1" si="40"/>
        <v>-2</v>
      </c>
      <c r="L11" s="43">
        <f t="shared" ca="1" si="40"/>
        <v>0</v>
      </c>
      <c r="M11" s="43">
        <f t="shared" ca="1" si="40"/>
        <v>0</v>
      </c>
      <c r="N11" s="43">
        <f t="shared" ca="1" si="40"/>
        <v>2</v>
      </c>
      <c r="O11" s="43">
        <f t="shared" ca="1" si="40"/>
        <v>3</v>
      </c>
      <c r="P11" s="43">
        <f t="shared" ca="1" si="40"/>
        <v>2</v>
      </c>
      <c r="Q11" s="43">
        <f t="shared" ca="1" si="40"/>
        <v>2</v>
      </c>
      <c r="S11">
        <v>1</v>
      </c>
      <c r="T11">
        <v>51.428571428571423</v>
      </c>
      <c r="U11">
        <v>102.85714285714285</v>
      </c>
      <c r="W11" s="47">
        <f t="shared" ca="1" si="5"/>
        <v>-3</v>
      </c>
      <c r="X11" s="47">
        <f t="shared" ca="1" si="6"/>
        <v>3</v>
      </c>
      <c r="Y11" s="47">
        <f t="shared" ca="1" si="7"/>
        <v>-1</v>
      </c>
      <c r="Z11" s="47">
        <f t="shared" ca="1" si="8"/>
        <v>-1</v>
      </c>
      <c r="AA11" s="47">
        <f t="shared" ca="1" si="9"/>
        <v>-2</v>
      </c>
      <c r="AB11" s="47">
        <f t="shared" ca="1" si="10"/>
        <v>3</v>
      </c>
      <c r="AC11" s="47">
        <f t="shared" ca="1" si="11"/>
        <v>-1</v>
      </c>
      <c r="AD11" s="47">
        <f t="shared" ca="1" si="12"/>
        <v>0</v>
      </c>
      <c r="AE11" s="47">
        <f t="shared" ca="1" si="13"/>
        <v>1</v>
      </c>
      <c r="AF11" s="47">
        <f t="shared" ca="1" si="14"/>
        <v>-1</v>
      </c>
      <c r="AG11" s="47">
        <f t="shared" ca="1" si="15"/>
        <v>0</v>
      </c>
      <c r="AH11" s="47">
        <f t="shared" ca="1" si="16"/>
        <v>0</v>
      </c>
      <c r="AI11" s="47">
        <f t="shared" ca="1" si="17"/>
        <v>2</v>
      </c>
      <c r="AJ11" s="47">
        <f t="shared" ca="1" si="18"/>
        <v>3</v>
      </c>
      <c r="AK11" s="47">
        <f t="shared" ca="1" si="19"/>
        <v>2</v>
      </c>
      <c r="AL11" s="47">
        <f ca="1">INT(BC11/360*$S$5+$S$7)</f>
        <v>2</v>
      </c>
      <c r="AN11" s="46">
        <f t="shared" ca="1" si="23"/>
        <v>13.772439509435136</v>
      </c>
      <c r="AO11" s="46">
        <f t="shared" ca="1" si="24"/>
        <v>335.80127985519715</v>
      </c>
      <c r="AP11" s="46">
        <f t="shared" ca="1" si="25"/>
        <v>137.8639284065251</v>
      </c>
      <c r="AQ11" s="46">
        <f t="shared" ca="1" si="26"/>
        <v>124.97600192573212</v>
      </c>
      <c r="AR11" s="46">
        <f t="shared" ca="1" si="27"/>
        <v>99.882816338105854</v>
      </c>
      <c r="AS11" s="46">
        <f t="shared" ca="1" si="28"/>
        <v>353.20693953951832</v>
      </c>
      <c r="AT11" s="46">
        <f t="shared" ca="1" si="29"/>
        <v>152.36733987588104</v>
      </c>
      <c r="AU11" s="46">
        <f t="shared" ca="1" si="30"/>
        <v>181.1653553340459</v>
      </c>
      <c r="AV11" s="46">
        <f t="shared" ca="1" si="31"/>
        <v>217.23747280022758</v>
      </c>
      <c r="AW11" s="46">
        <f t="shared" ca="1" si="32"/>
        <v>102.89919601065253</v>
      </c>
      <c r="AX11" s="46">
        <f t="shared" ca="1" si="33"/>
        <v>201.71004512053287</v>
      </c>
      <c r="AY11" s="46">
        <f t="shared" ca="1" si="34"/>
        <v>186.50210317135651</v>
      </c>
      <c r="AZ11" s="46">
        <f t="shared" ca="1" si="35"/>
        <v>303.90200127811011</v>
      </c>
      <c r="BA11" s="46">
        <f t="shared" ca="1" si="36"/>
        <v>332.57286122332096</v>
      </c>
      <c r="BB11" s="46">
        <f t="shared" ca="1" si="37"/>
        <v>278.57516939991217</v>
      </c>
      <c r="BC11" s="46">
        <f t="shared" ca="1" si="38"/>
        <v>299.18161187540329</v>
      </c>
    </row>
    <row r="12" spans="2:55" x14ac:dyDescent="0.2">
      <c r="B12" s="43">
        <f t="shared" ref="B12:Q12" ca="1" si="41">INT(B31/360*$S$5)</f>
        <v>-2</v>
      </c>
      <c r="C12" s="43">
        <f t="shared" ca="1" si="41"/>
        <v>-2</v>
      </c>
      <c r="D12" s="43">
        <f t="shared" ca="1" si="41"/>
        <v>2</v>
      </c>
      <c r="E12" s="43">
        <f t="shared" ca="1" si="41"/>
        <v>3</v>
      </c>
      <c r="F12" s="43">
        <f t="shared" ca="1" si="41"/>
        <v>3</v>
      </c>
      <c r="G12" s="43">
        <f t="shared" ca="1" si="41"/>
        <v>2</v>
      </c>
      <c r="H12" s="43">
        <f t="shared" ca="1" si="41"/>
        <v>2</v>
      </c>
      <c r="I12" s="43">
        <f t="shared" ca="1" si="41"/>
        <v>1</v>
      </c>
      <c r="J12" s="43">
        <f t="shared" ca="1" si="41"/>
        <v>-2</v>
      </c>
      <c r="K12" s="43">
        <f t="shared" ca="1" si="41"/>
        <v>2</v>
      </c>
      <c r="L12" s="43">
        <f t="shared" ca="1" si="41"/>
        <v>-2</v>
      </c>
      <c r="M12" s="43">
        <f t="shared" ca="1" si="41"/>
        <v>0</v>
      </c>
      <c r="N12" s="43">
        <f t="shared" ca="1" si="41"/>
        <v>-2</v>
      </c>
      <c r="O12" s="43">
        <f t="shared" ca="1" si="41"/>
        <v>3</v>
      </c>
      <c r="P12" s="43">
        <f t="shared" ca="1" si="41"/>
        <v>-2</v>
      </c>
      <c r="Q12" s="43">
        <f t="shared" ca="1" si="41"/>
        <v>-2</v>
      </c>
      <c r="S12">
        <v>2</v>
      </c>
      <c r="T12">
        <v>102.85714285714285</v>
      </c>
      <c r="U12">
        <v>154.28571428571428</v>
      </c>
      <c r="W12" s="47">
        <f t="shared" ca="1" si="5"/>
        <v>-2</v>
      </c>
      <c r="X12" s="47">
        <f t="shared" ca="1" si="6"/>
        <v>-2</v>
      </c>
      <c r="Y12" s="47">
        <f t="shared" ca="1" si="7"/>
        <v>2</v>
      </c>
      <c r="Z12" s="47">
        <f t="shared" ca="1" si="8"/>
        <v>3</v>
      </c>
      <c r="AA12" s="47">
        <f t="shared" ca="1" si="9"/>
        <v>3</v>
      </c>
      <c r="AB12" s="47">
        <f t="shared" ca="1" si="10"/>
        <v>2</v>
      </c>
      <c r="AC12" s="47">
        <f t="shared" ca="1" si="11"/>
        <v>2</v>
      </c>
      <c r="AD12" s="47">
        <f t="shared" ca="1" si="12"/>
        <v>1</v>
      </c>
      <c r="AE12" s="47">
        <f t="shared" ca="1" si="13"/>
        <v>-2</v>
      </c>
      <c r="AF12" s="47">
        <f t="shared" ca="1" si="14"/>
        <v>2</v>
      </c>
      <c r="AG12" s="47">
        <f t="shared" ca="1" si="15"/>
        <v>-2</v>
      </c>
      <c r="AH12" s="47">
        <f t="shared" ca="1" si="16"/>
        <v>0</v>
      </c>
      <c r="AI12" s="47">
        <f t="shared" ca="1" si="17"/>
        <v>-2</v>
      </c>
      <c r="AJ12" s="47">
        <f t="shared" ca="1" si="18"/>
        <v>3</v>
      </c>
      <c r="AK12" s="47">
        <f t="shared" ca="1" si="19"/>
        <v>-2</v>
      </c>
      <c r="AL12" s="47">
        <f t="shared" ca="1" si="20"/>
        <v>-2</v>
      </c>
      <c r="AN12" s="46">
        <f t="shared" ca="1" si="23"/>
        <v>76.773296327501896</v>
      </c>
      <c r="AO12" s="46">
        <f t="shared" ca="1" si="24"/>
        <v>86.510664703022542</v>
      </c>
      <c r="AP12" s="46">
        <f t="shared" ca="1" si="25"/>
        <v>273.07152708600813</v>
      </c>
      <c r="AQ12" s="46">
        <f t="shared" ca="1" si="26"/>
        <v>319.01857135452059</v>
      </c>
      <c r="AR12" s="46">
        <f t="shared" ca="1" si="27"/>
        <v>313.32630202505442</v>
      </c>
      <c r="AS12" s="46">
        <f t="shared" ca="1" si="28"/>
        <v>261.71285703229142</v>
      </c>
      <c r="AT12" s="46">
        <f t="shared" ca="1" si="29"/>
        <v>300.09432776297831</v>
      </c>
      <c r="AU12" s="46">
        <f t="shared" ca="1" si="30"/>
        <v>245.52027527073372</v>
      </c>
      <c r="AV12" s="46">
        <f t="shared" ca="1" si="31"/>
        <v>89.770063797280869</v>
      </c>
      <c r="AW12" s="46">
        <f t="shared" ca="1" si="32"/>
        <v>276.01287583945867</v>
      </c>
      <c r="AX12" s="46">
        <f t="shared" ca="1" si="33"/>
        <v>64.028102108603974</v>
      </c>
      <c r="AY12" s="46">
        <f t="shared" ca="1" si="34"/>
        <v>160.79443803245454</v>
      </c>
      <c r="AZ12" s="46">
        <f t="shared" ca="1" si="35"/>
        <v>63.674786178554207</v>
      </c>
      <c r="BA12" s="46">
        <f t="shared" ca="1" si="36"/>
        <v>312.86011610845605</v>
      </c>
      <c r="BB12" s="46">
        <f t="shared" ca="1" si="37"/>
        <v>96.172489341048845</v>
      </c>
      <c r="BC12" s="46">
        <f t="shared" ca="1" si="38"/>
        <v>90.139865413583095</v>
      </c>
    </row>
    <row r="13" spans="2:55" x14ac:dyDescent="0.2">
      <c r="B13" s="43">
        <f t="shared" ref="B13:Q13" ca="1" si="42">INT(B32/360*$S$5)</f>
        <v>2</v>
      </c>
      <c r="C13" s="43">
        <f t="shared" ca="1" si="42"/>
        <v>1</v>
      </c>
      <c r="D13" s="43">
        <f t="shared" ca="1" si="42"/>
        <v>2</v>
      </c>
      <c r="E13" s="43">
        <f t="shared" ca="1" si="42"/>
        <v>1</v>
      </c>
      <c r="F13" s="43">
        <f t="shared" ca="1" si="42"/>
        <v>3</v>
      </c>
      <c r="G13" s="43">
        <f t="shared" ca="1" si="42"/>
        <v>-3</v>
      </c>
      <c r="H13" s="43">
        <f t="shared" ca="1" si="42"/>
        <v>-2</v>
      </c>
      <c r="I13" s="43">
        <f t="shared" ca="1" si="42"/>
        <v>-3</v>
      </c>
      <c r="J13" s="43">
        <f t="shared" ca="1" si="42"/>
        <v>2</v>
      </c>
      <c r="K13" s="43">
        <f t="shared" ca="1" si="42"/>
        <v>1</v>
      </c>
      <c r="L13" s="43">
        <f t="shared" ca="1" si="42"/>
        <v>0</v>
      </c>
      <c r="M13" s="43">
        <f t="shared" ca="1" si="42"/>
        <v>1</v>
      </c>
      <c r="N13" s="43">
        <f t="shared" ca="1" si="42"/>
        <v>0</v>
      </c>
      <c r="O13" s="43">
        <f t="shared" ca="1" si="42"/>
        <v>3</v>
      </c>
      <c r="P13" s="43">
        <f t="shared" ca="1" si="42"/>
        <v>-1</v>
      </c>
      <c r="Q13" s="43">
        <f t="shared" ca="1" si="42"/>
        <v>-2</v>
      </c>
      <c r="S13">
        <v>3</v>
      </c>
      <c r="T13">
        <v>154.28571428571428</v>
      </c>
      <c r="U13">
        <v>205.71428571428572</v>
      </c>
      <c r="W13" s="47">
        <f t="shared" ca="1" si="5"/>
        <v>2</v>
      </c>
      <c r="X13" s="47">
        <f t="shared" ca="1" si="6"/>
        <v>1</v>
      </c>
      <c r="Y13" s="47">
        <f t="shared" ca="1" si="7"/>
        <v>2</v>
      </c>
      <c r="Z13" s="47">
        <f t="shared" ca="1" si="8"/>
        <v>1</v>
      </c>
      <c r="AA13" s="47">
        <f t="shared" ca="1" si="9"/>
        <v>3</v>
      </c>
      <c r="AB13" s="47">
        <f t="shared" ca="1" si="10"/>
        <v>-3</v>
      </c>
      <c r="AC13" s="47">
        <f t="shared" ca="1" si="11"/>
        <v>-2</v>
      </c>
      <c r="AD13" s="47">
        <f t="shared" ca="1" si="12"/>
        <v>-3</v>
      </c>
      <c r="AE13" s="47">
        <f t="shared" ca="1" si="13"/>
        <v>2</v>
      </c>
      <c r="AF13" s="47">
        <f t="shared" ca="1" si="14"/>
        <v>2</v>
      </c>
      <c r="AG13" s="47">
        <f t="shared" ca="1" si="15"/>
        <v>0</v>
      </c>
      <c r="AH13" s="47">
        <f t="shared" ca="1" si="16"/>
        <v>1</v>
      </c>
      <c r="AI13" s="47">
        <f t="shared" ca="1" si="17"/>
        <v>1</v>
      </c>
      <c r="AJ13" s="47">
        <f t="shared" ca="1" si="18"/>
        <v>3</v>
      </c>
      <c r="AK13" s="47">
        <f t="shared" ca="1" si="19"/>
        <v>-1</v>
      </c>
      <c r="AL13" s="47">
        <f t="shared" ca="1" si="20"/>
        <v>-2</v>
      </c>
      <c r="AN13" s="46">
        <f t="shared" ca="1" si="23"/>
        <v>271.93968064757314</v>
      </c>
      <c r="AO13" s="46">
        <f t="shared" ca="1" si="24"/>
        <v>213.76848969368802</v>
      </c>
      <c r="AP13" s="46">
        <f t="shared" ca="1" si="25"/>
        <v>259.90399733912489</v>
      </c>
      <c r="AQ13" s="46">
        <f t="shared" ca="1" si="26"/>
        <v>242.85708225523064</v>
      </c>
      <c r="AR13" s="46">
        <f t="shared" ca="1" si="27"/>
        <v>320.94518157732352</v>
      </c>
      <c r="AS13" s="46">
        <f t="shared" ca="1" si="28"/>
        <v>19.023128355359162</v>
      </c>
      <c r="AT13" s="46">
        <f t="shared" ca="1" si="29"/>
        <v>68.920624816942492</v>
      </c>
      <c r="AU13" s="46">
        <f t="shared" ca="1" si="30"/>
        <v>14.438477229681373</v>
      </c>
      <c r="AV13" s="46">
        <f t="shared" ca="1" si="31"/>
        <v>289.16697976323439</v>
      </c>
      <c r="AW13" s="46">
        <f t="shared" ca="1" si="32"/>
        <v>258.15429277284221</v>
      </c>
      <c r="AX13" s="46">
        <f t="shared" ca="1" si="33"/>
        <v>187.21980150500184</v>
      </c>
      <c r="AY13" s="46">
        <f t="shared" ca="1" si="34"/>
        <v>254.3887485747544</v>
      </c>
      <c r="AZ13" s="46">
        <f t="shared" ca="1" si="35"/>
        <v>207.34721625097632</v>
      </c>
      <c r="BA13" s="46">
        <f t="shared" ca="1" si="36"/>
        <v>320.74251424348807</v>
      </c>
      <c r="BB13" s="46">
        <f t="shared" ca="1" si="37"/>
        <v>154.15821697614879</v>
      </c>
      <c r="BC13" s="46">
        <f t="shared" ca="1" si="38"/>
        <v>78.934581996188314</v>
      </c>
    </row>
    <row r="14" spans="2:55" x14ac:dyDescent="0.2">
      <c r="B14" s="43">
        <f t="shared" ref="B14:Q14" ca="1" si="43">INT(B33/360*$S$5)</f>
        <v>3</v>
      </c>
      <c r="C14" s="43">
        <f t="shared" ca="1" si="43"/>
        <v>-2</v>
      </c>
      <c r="D14" s="43">
        <f t="shared" ca="1" si="43"/>
        <v>3</v>
      </c>
      <c r="E14" s="43">
        <f t="shared" ca="1" si="43"/>
        <v>1</v>
      </c>
      <c r="F14" s="43">
        <f t="shared" ca="1" si="43"/>
        <v>-1</v>
      </c>
      <c r="G14" s="43">
        <f t="shared" ca="1" si="43"/>
        <v>1</v>
      </c>
      <c r="H14" s="43">
        <f t="shared" ca="1" si="43"/>
        <v>0</v>
      </c>
      <c r="I14" s="43">
        <f t="shared" ca="1" si="43"/>
        <v>2</v>
      </c>
      <c r="J14" s="43">
        <f t="shared" ca="1" si="43"/>
        <v>2</v>
      </c>
      <c r="K14" s="43">
        <f t="shared" ca="1" si="43"/>
        <v>-3</v>
      </c>
      <c r="L14" s="43">
        <f t="shared" ca="1" si="43"/>
        <v>-1</v>
      </c>
      <c r="M14" s="43">
        <f t="shared" ca="1" si="43"/>
        <v>2</v>
      </c>
      <c r="N14" s="43">
        <f t="shared" ca="1" si="43"/>
        <v>-3</v>
      </c>
      <c r="O14" s="43">
        <f t="shared" ca="1" si="43"/>
        <v>2</v>
      </c>
      <c r="P14" s="43">
        <f t="shared" ca="1" si="43"/>
        <v>-3</v>
      </c>
      <c r="Q14" s="43">
        <f t="shared" ca="1" si="43"/>
        <v>-2</v>
      </c>
      <c r="W14" s="47">
        <f t="shared" ca="1" si="5"/>
        <v>3</v>
      </c>
      <c r="X14" s="47">
        <f t="shared" ca="1" si="6"/>
        <v>-2</v>
      </c>
      <c r="Y14" s="47">
        <f t="shared" ca="1" si="7"/>
        <v>3</v>
      </c>
      <c r="Z14" s="47">
        <f t="shared" ca="1" si="8"/>
        <v>1</v>
      </c>
      <c r="AA14" s="47">
        <f t="shared" ca="1" si="9"/>
        <v>-1</v>
      </c>
      <c r="AB14" s="47">
        <f t="shared" ca="1" si="10"/>
        <v>1</v>
      </c>
      <c r="AC14" s="47">
        <f t="shared" ca="1" si="11"/>
        <v>1</v>
      </c>
      <c r="AD14" s="47">
        <f t="shared" ca="1" si="12"/>
        <v>2</v>
      </c>
      <c r="AE14" s="47">
        <f t="shared" ca="1" si="13"/>
        <v>2</v>
      </c>
      <c r="AF14" s="47">
        <f t="shared" ca="1" si="14"/>
        <v>-3</v>
      </c>
      <c r="AG14" s="47">
        <f t="shared" ca="1" si="15"/>
        <v>-1</v>
      </c>
      <c r="AH14" s="47">
        <f t="shared" ca="1" si="16"/>
        <v>2</v>
      </c>
      <c r="AI14" s="47">
        <f t="shared" ca="1" si="17"/>
        <v>-3</v>
      </c>
      <c r="AJ14" s="47">
        <f t="shared" ca="1" si="18"/>
        <v>2</v>
      </c>
      <c r="AK14" s="47">
        <f t="shared" ca="1" si="19"/>
        <v>-2</v>
      </c>
      <c r="AL14" s="47">
        <f t="shared" ca="1" si="20"/>
        <v>-2</v>
      </c>
      <c r="AN14" s="46">
        <f t="shared" ca="1" si="23"/>
        <v>316.96952335833748</v>
      </c>
      <c r="AO14" s="46">
        <f t="shared" ca="1" si="24"/>
        <v>100.13427806345413</v>
      </c>
      <c r="AP14" s="46">
        <f t="shared" ca="1" si="25"/>
        <v>315.41849191537136</v>
      </c>
      <c r="AQ14" s="46">
        <f t="shared" ca="1" si="26"/>
        <v>253.38246875470966</v>
      </c>
      <c r="AR14" s="46">
        <f t="shared" ca="1" si="27"/>
        <v>124.85737047268076</v>
      </c>
      <c r="AS14" s="46">
        <f t="shared" ca="1" si="28"/>
        <v>230.08651035515516</v>
      </c>
      <c r="AT14" s="46">
        <f t="shared" ca="1" si="29"/>
        <v>211.4419227243358</v>
      </c>
      <c r="AU14" s="46">
        <f t="shared" ca="1" si="30"/>
        <v>294.61242529173649</v>
      </c>
      <c r="AV14" s="46">
        <f t="shared" ca="1" si="31"/>
        <v>288.43221185514994</v>
      </c>
      <c r="AW14" s="46">
        <f t="shared" ca="1" si="32"/>
        <v>30.22441377477837</v>
      </c>
      <c r="AX14" s="46">
        <f t="shared" ca="1" si="33"/>
        <v>127.58382530903798</v>
      </c>
      <c r="AY14" s="46">
        <f t="shared" ca="1" si="34"/>
        <v>299.00549613616147</v>
      </c>
      <c r="AZ14" s="46">
        <f t="shared" ca="1" si="35"/>
        <v>27.224488558200346</v>
      </c>
      <c r="BA14" s="46">
        <f t="shared" ca="1" si="36"/>
        <v>270.49993047896197</v>
      </c>
      <c r="BB14" s="46">
        <f t="shared" ca="1" si="37"/>
        <v>52.55409409718429</v>
      </c>
      <c r="BC14" s="46">
        <f t="shared" ca="1" si="38"/>
        <v>72.838183571684539</v>
      </c>
    </row>
    <row r="15" spans="2:55" x14ac:dyDescent="0.2">
      <c r="B15" s="43">
        <f t="shared" ref="B15:Q15" ca="1" si="44">INT(B34/360*$S$5)</f>
        <v>1</v>
      </c>
      <c r="C15" s="43">
        <f t="shared" ca="1" si="44"/>
        <v>1</v>
      </c>
      <c r="D15" s="43">
        <f t="shared" ca="1" si="44"/>
        <v>1</v>
      </c>
      <c r="E15" s="43">
        <f t="shared" ca="1" si="44"/>
        <v>-2</v>
      </c>
      <c r="F15" s="43">
        <f t="shared" ca="1" si="44"/>
        <v>1</v>
      </c>
      <c r="G15" s="43">
        <f t="shared" ca="1" si="44"/>
        <v>-3</v>
      </c>
      <c r="H15" s="43">
        <f t="shared" ca="1" si="44"/>
        <v>-2</v>
      </c>
      <c r="I15" s="43">
        <f t="shared" ca="1" si="44"/>
        <v>-2</v>
      </c>
      <c r="J15" s="43">
        <f t="shared" ca="1" si="44"/>
        <v>1</v>
      </c>
      <c r="K15" s="43">
        <f t="shared" ca="1" si="44"/>
        <v>-2</v>
      </c>
      <c r="L15" s="43">
        <f t="shared" ca="1" si="44"/>
        <v>2</v>
      </c>
      <c r="M15" s="43">
        <f t="shared" ca="1" si="44"/>
        <v>0</v>
      </c>
      <c r="N15" s="43">
        <f t="shared" ca="1" si="44"/>
        <v>3</v>
      </c>
      <c r="O15" s="43">
        <f t="shared" ca="1" si="44"/>
        <v>-1</v>
      </c>
      <c r="P15" s="43">
        <f t="shared" ca="1" si="44"/>
        <v>0</v>
      </c>
      <c r="Q15" s="43">
        <f t="shared" ca="1" si="44"/>
        <v>-3</v>
      </c>
      <c r="W15" s="47">
        <f t="shared" ca="1" si="5"/>
        <v>1</v>
      </c>
      <c r="X15" s="47">
        <f t="shared" ca="1" si="6"/>
        <v>1</v>
      </c>
      <c r="Y15" s="47">
        <f t="shared" ca="1" si="7"/>
        <v>1</v>
      </c>
      <c r="Z15" s="47">
        <f t="shared" ca="1" si="8"/>
        <v>-2</v>
      </c>
      <c r="AA15" s="47">
        <f t="shared" ca="1" si="9"/>
        <v>1</v>
      </c>
      <c r="AB15" s="47">
        <f t="shared" ca="1" si="10"/>
        <v>-3</v>
      </c>
      <c r="AC15" s="47">
        <f t="shared" ca="1" si="11"/>
        <v>-2</v>
      </c>
      <c r="AD15" s="47">
        <f t="shared" ca="1" si="12"/>
        <v>-2</v>
      </c>
      <c r="AE15" s="47">
        <f t="shared" ca="1" si="13"/>
        <v>1</v>
      </c>
      <c r="AF15" s="47">
        <f t="shared" ca="1" si="14"/>
        <v>-2</v>
      </c>
      <c r="AG15" s="47">
        <f t="shared" ca="1" si="15"/>
        <v>2</v>
      </c>
      <c r="AH15" s="47">
        <f t="shared" ca="1" si="16"/>
        <v>0</v>
      </c>
      <c r="AI15" s="47">
        <f t="shared" ca="1" si="17"/>
        <v>3</v>
      </c>
      <c r="AJ15" s="47">
        <f t="shared" ca="1" si="18"/>
        <v>-1</v>
      </c>
      <c r="AK15" s="47">
        <f t="shared" ca="1" si="19"/>
        <v>0</v>
      </c>
      <c r="AL15" s="47">
        <f t="shared" ca="1" si="20"/>
        <v>-3</v>
      </c>
      <c r="AN15" s="46">
        <f t="shared" ca="1" si="23"/>
        <v>254.78624545480707</v>
      </c>
      <c r="AO15" s="46">
        <f t="shared" ca="1" si="24"/>
        <v>256.90220076455347</v>
      </c>
      <c r="AP15" s="46">
        <f t="shared" ca="1" si="25"/>
        <v>237.95433660248972</v>
      </c>
      <c r="AQ15" s="46">
        <f t="shared" ca="1" si="26"/>
        <v>100.79793455621041</v>
      </c>
      <c r="AR15" s="46">
        <f t="shared" ca="1" si="27"/>
        <v>229.5487085115949</v>
      </c>
      <c r="AS15" s="46">
        <f t="shared" ca="1" si="28"/>
        <v>23.794002469283278</v>
      </c>
      <c r="AT15" s="46">
        <f t="shared" ca="1" si="29"/>
        <v>69.180672358529705</v>
      </c>
      <c r="AU15" s="46">
        <f t="shared" ca="1" si="30"/>
        <v>55.309189304874977</v>
      </c>
      <c r="AV15" s="46">
        <f t="shared" ca="1" si="31"/>
        <v>209.98334493559665</v>
      </c>
      <c r="AW15" s="46">
        <f t="shared" ca="1" si="32"/>
        <v>58.22672221665178</v>
      </c>
      <c r="AX15" s="46">
        <f t="shared" ca="1" si="33"/>
        <v>259.65184781964552</v>
      </c>
      <c r="AY15" s="46">
        <f t="shared" ca="1" si="34"/>
        <v>169.89132421090378</v>
      </c>
      <c r="AZ15" s="46">
        <f t="shared" ca="1" si="35"/>
        <v>343.52629473603008</v>
      </c>
      <c r="BA15" s="46">
        <f t="shared" ca="1" si="36"/>
        <v>106.33988204329513</v>
      </c>
      <c r="BB15" s="46">
        <f t="shared" ca="1" si="37"/>
        <v>170.70968194965849</v>
      </c>
      <c r="BC15" s="46">
        <f t="shared" ca="1" si="38"/>
        <v>50.922000708710385</v>
      </c>
    </row>
    <row r="16" spans="2:55" x14ac:dyDescent="0.2">
      <c r="B16" s="43">
        <f t="shared" ref="B16:Q16" ca="1" si="45">INT(B35/360*$S$5)</f>
        <v>-3</v>
      </c>
      <c r="C16" s="43">
        <f t="shared" ca="1" si="45"/>
        <v>-3</v>
      </c>
      <c r="D16" s="43">
        <f t="shared" ca="1" si="45"/>
        <v>3</v>
      </c>
      <c r="E16" s="43">
        <f t="shared" ca="1" si="45"/>
        <v>-3</v>
      </c>
      <c r="F16" s="43">
        <f t="shared" ca="1" si="45"/>
        <v>2</v>
      </c>
      <c r="G16" s="43">
        <f t="shared" ca="1" si="45"/>
        <v>0</v>
      </c>
      <c r="H16" s="43">
        <f t="shared" ca="1" si="45"/>
        <v>0</v>
      </c>
      <c r="I16" s="43">
        <f t="shared" ca="1" si="45"/>
        <v>0</v>
      </c>
      <c r="J16" s="43">
        <f t="shared" ca="1" si="45"/>
        <v>-3</v>
      </c>
      <c r="K16" s="43">
        <f t="shared" ca="1" si="45"/>
        <v>2</v>
      </c>
      <c r="L16" s="43">
        <f t="shared" ca="1" si="45"/>
        <v>-1</v>
      </c>
      <c r="M16" s="43">
        <f t="shared" ca="1" si="45"/>
        <v>-1</v>
      </c>
      <c r="N16" s="43">
        <f t="shared" ca="1" si="45"/>
        <v>-2</v>
      </c>
      <c r="O16" s="43">
        <f t="shared" ca="1" si="45"/>
        <v>0</v>
      </c>
      <c r="P16" s="43">
        <f t="shared" ca="1" si="45"/>
        <v>-1</v>
      </c>
      <c r="Q16" s="43">
        <f t="shared" ca="1" si="45"/>
        <v>-2</v>
      </c>
      <c r="W16" s="47">
        <f t="shared" ca="1" si="5"/>
        <v>-3</v>
      </c>
      <c r="X16" s="47">
        <f t="shared" ca="1" si="6"/>
        <v>-3</v>
      </c>
      <c r="Y16" s="47">
        <f t="shared" ca="1" si="7"/>
        <v>3</v>
      </c>
      <c r="Z16" s="47">
        <f t="shared" ca="1" si="8"/>
        <v>-3</v>
      </c>
      <c r="AA16" s="47">
        <f t="shared" ca="1" si="9"/>
        <v>2</v>
      </c>
      <c r="AB16" s="47">
        <f t="shared" ca="1" si="10"/>
        <v>0</v>
      </c>
      <c r="AC16" s="47">
        <f t="shared" ca="1" si="11"/>
        <v>0</v>
      </c>
      <c r="AD16" s="47">
        <f t="shared" ca="1" si="12"/>
        <v>0</v>
      </c>
      <c r="AE16" s="47">
        <f t="shared" ca="1" si="13"/>
        <v>-3</v>
      </c>
      <c r="AF16" s="47">
        <f t="shared" ca="1" si="14"/>
        <v>2</v>
      </c>
      <c r="AG16" s="47">
        <f t="shared" ca="1" si="15"/>
        <v>-1</v>
      </c>
      <c r="AH16" s="47">
        <f t="shared" ca="1" si="16"/>
        <v>-1</v>
      </c>
      <c r="AI16" s="47">
        <f t="shared" ca="1" si="17"/>
        <v>-2</v>
      </c>
      <c r="AJ16" s="47">
        <f t="shared" ca="1" si="18"/>
        <v>0</v>
      </c>
      <c r="AK16" s="47">
        <f t="shared" ca="1" si="19"/>
        <v>-1</v>
      </c>
      <c r="AL16" s="47">
        <f t="shared" ca="1" si="20"/>
        <v>-2</v>
      </c>
      <c r="AN16" s="46">
        <f t="shared" ca="1" si="23"/>
        <v>28.344596602760991</v>
      </c>
      <c r="AO16" s="46">
        <f t="shared" ca="1" si="24"/>
        <v>46.966566040329177</v>
      </c>
      <c r="AP16" s="46">
        <f t="shared" ca="1" si="25"/>
        <v>330.20622706109026</v>
      </c>
      <c r="AQ16" s="46">
        <f t="shared" ca="1" si="26"/>
        <v>47.18004974450249</v>
      </c>
      <c r="AR16" s="46">
        <f t="shared" ca="1" si="27"/>
        <v>283.85719107913246</v>
      </c>
      <c r="AS16" s="46">
        <f t="shared" ca="1" si="28"/>
        <v>171.19699326305968</v>
      </c>
      <c r="AT16" s="46">
        <f t="shared" ca="1" si="29"/>
        <v>198.19251747257326</v>
      </c>
      <c r="AU16" s="46">
        <f t="shared" ca="1" si="30"/>
        <v>196.19982438909054</v>
      </c>
      <c r="AV16" s="46">
        <f t="shared" ca="1" si="31"/>
        <v>15.102618543700785</v>
      </c>
      <c r="AW16" s="46">
        <f t="shared" ca="1" si="32"/>
        <v>277.06468026419867</v>
      </c>
      <c r="AX16" s="46">
        <f t="shared" ca="1" si="33"/>
        <v>133.34686944590206</v>
      </c>
      <c r="AY16" s="46">
        <f t="shared" ca="1" si="34"/>
        <v>113.17126291278586</v>
      </c>
      <c r="AZ16" s="46">
        <f t="shared" ca="1" si="35"/>
        <v>89.46795298129291</v>
      </c>
      <c r="BA16" s="46">
        <f t="shared" ca="1" si="36"/>
        <v>169.19482895440163</v>
      </c>
      <c r="BB16" s="46">
        <f t="shared" ca="1" si="37"/>
        <v>118.21921628647185</v>
      </c>
      <c r="BC16" s="46">
        <f t="shared" ca="1" si="38"/>
        <v>100.78123570941874</v>
      </c>
    </row>
    <row r="17" spans="2:55" x14ac:dyDescent="0.2">
      <c r="B17" s="43">
        <f t="shared" ref="B17:Q17" ca="1" si="46">INT(B36/360*$S$5)</f>
        <v>0</v>
      </c>
      <c r="C17" s="43">
        <f t="shared" ca="1" si="46"/>
        <v>-1</v>
      </c>
      <c r="D17" s="43">
        <f t="shared" ca="1" si="46"/>
        <v>2</v>
      </c>
      <c r="E17" s="43">
        <f t="shared" ca="1" si="46"/>
        <v>0</v>
      </c>
      <c r="F17" s="43">
        <f t="shared" ca="1" si="46"/>
        <v>-3</v>
      </c>
      <c r="G17" s="43">
        <f t="shared" ca="1" si="46"/>
        <v>1</v>
      </c>
      <c r="H17" s="43">
        <f t="shared" ca="1" si="46"/>
        <v>2</v>
      </c>
      <c r="I17" s="43">
        <f t="shared" ca="1" si="46"/>
        <v>3</v>
      </c>
      <c r="J17" s="43">
        <f t="shared" ca="1" si="46"/>
        <v>2</v>
      </c>
      <c r="K17" s="43">
        <f t="shared" ca="1" si="46"/>
        <v>2</v>
      </c>
      <c r="L17" s="43">
        <f t="shared" ca="1" si="46"/>
        <v>1</v>
      </c>
      <c r="M17" s="43">
        <f t="shared" ca="1" si="46"/>
        <v>1</v>
      </c>
      <c r="N17" s="43">
        <f t="shared" ca="1" si="46"/>
        <v>-1</v>
      </c>
      <c r="O17" s="43">
        <f t="shared" ca="1" si="46"/>
        <v>2</v>
      </c>
      <c r="P17" s="43">
        <f t="shared" ca="1" si="46"/>
        <v>-2</v>
      </c>
      <c r="Q17" s="43">
        <f t="shared" ca="1" si="46"/>
        <v>-3</v>
      </c>
      <c r="W17" s="47">
        <f t="shared" ca="1" si="5"/>
        <v>0</v>
      </c>
      <c r="X17" s="47">
        <f t="shared" ca="1" si="6"/>
        <v>-1</v>
      </c>
      <c r="Y17" s="47">
        <f t="shared" ca="1" si="7"/>
        <v>2</v>
      </c>
      <c r="Z17" s="47">
        <f t="shared" ca="1" si="8"/>
        <v>0</v>
      </c>
      <c r="AA17" s="47">
        <f t="shared" ca="1" si="9"/>
        <v>-3</v>
      </c>
      <c r="AB17" s="47">
        <f t="shared" ca="1" si="10"/>
        <v>1</v>
      </c>
      <c r="AC17" s="47">
        <f t="shared" ca="1" si="11"/>
        <v>3</v>
      </c>
      <c r="AD17" s="47">
        <f t="shared" ca="1" si="12"/>
        <v>3</v>
      </c>
      <c r="AE17" s="47">
        <f t="shared" ca="1" si="13"/>
        <v>2</v>
      </c>
      <c r="AF17" s="47">
        <f t="shared" ca="1" si="14"/>
        <v>3</v>
      </c>
      <c r="AG17" s="47">
        <f t="shared" ca="1" si="15"/>
        <v>1</v>
      </c>
      <c r="AH17" s="47">
        <f t="shared" ca="1" si="16"/>
        <v>1</v>
      </c>
      <c r="AI17" s="47">
        <f t="shared" ca="1" si="17"/>
        <v>-1</v>
      </c>
      <c r="AJ17" s="47">
        <f t="shared" ca="1" si="18"/>
        <v>2</v>
      </c>
      <c r="AK17" s="47">
        <f t="shared" ca="1" si="19"/>
        <v>-2</v>
      </c>
      <c r="AL17" s="47">
        <f t="shared" ca="1" si="20"/>
        <v>-3</v>
      </c>
      <c r="AN17" s="46">
        <f t="shared" ca="1" si="23"/>
        <v>195.96886778921936</v>
      </c>
      <c r="AO17" s="46">
        <f t="shared" ca="1" si="24"/>
        <v>120.56386685883108</v>
      </c>
      <c r="AP17" s="46">
        <f t="shared" ca="1" si="25"/>
        <v>296.35027463245575</v>
      </c>
      <c r="AQ17" s="46">
        <f t="shared" ca="1" si="26"/>
        <v>163.08556402619547</v>
      </c>
      <c r="AR17" s="46">
        <f t="shared" ca="1" si="27"/>
        <v>32.341633275605219</v>
      </c>
      <c r="AS17" s="46">
        <f t="shared" ca="1" si="28"/>
        <v>216.25748479821124</v>
      </c>
      <c r="AT17" s="46">
        <f t="shared" ca="1" si="29"/>
        <v>310.87778266286398</v>
      </c>
      <c r="AU17" s="46">
        <f t="shared" ca="1" si="30"/>
        <v>321.83517884387373</v>
      </c>
      <c r="AV17" s="46">
        <f t="shared" ca="1" si="31"/>
        <v>303.51909809189402</v>
      </c>
      <c r="AW17" s="46">
        <f t="shared" ca="1" si="32"/>
        <v>309.20424080494405</v>
      </c>
      <c r="AX17" s="46">
        <f t="shared" ca="1" si="33"/>
        <v>235.22829675919729</v>
      </c>
      <c r="AY17" s="46">
        <f t="shared" ca="1" si="34"/>
        <v>218.16928651084046</v>
      </c>
      <c r="AZ17" s="46">
        <f t="shared" ca="1" si="35"/>
        <v>147.47550311056781</v>
      </c>
      <c r="BA17" s="46">
        <f t="shared" ca="1" si="36"/>
        <v>296.62334034635165</v>
      </c>
      <c r="BB17" s="46">
        <f t="shared" ca="1" si="37"/>
        <v>73.601600752789324</v>
      </c>
      <c r="BC17" s="46">
        <f t="shared" ca="1" si="38"/>
        <v>13.745286714908298</v>
      </c>
    </row>
    <row r="18" spans="2:55" x14ac:dyDescent="0.2">
      <c r="B18" s="43">
        <f t="shared" ref="B18:Q18" ca="1" si="47">INT(B37/360*$S$5)</f>
        <v>1</v>
      </c>
      <c r="C18" s="43">
        <f t="shared" ca="1" si="47"/>
        <v>-1</v>
      </c>
      <c r="D18" s="43">
        <f t="shared" ca="1" si="47"/>
        <v>-1</v>
      </c>
      <c r="E18" s="43">
        <f t="shared" ca="1" si="47"/>
        <v>3</v>
      </c>
      <c r="F18" s="43">
        <f t="shared" ca="1" si="47"/>
        <v>1</v>
      </c>
      <c r="G18" s="43">
        <f t="shared" ca="1" si="47"/>
        <v>0</v>
      </c>
      <c r="H18" s="43">
        <f t="shared" ca="1" si="47"/>
        <v>2</v>
      </c>
      <c r="I18" s="43">
        <f t="shared" ca="1" si="47"/>
        <v>-2</v>
      </c>
      <c r="J18" s="43">
        <f t="shared" ca="1" si="47"/>
        <v>1</v>
      </c>
      <c r="K18" s="43">
        <f t="shared" ca="1" si="47"/>
        <v>1</v>
      </c>
      <c r="L18" s="43">
        <f t="shared" ca="1" si="47"/>
        <v>-1</v>
      </c>
      <c r="M18" s="43">
        <f t="shared" ca="1" si="47"/>
        <v>-2</v>
      </c>
      <c r="N18" s="43">
        <f t="shared" ca="1" si="47"/>
        <v>-1</v>
      </c>
      <c r="O18" s="43">
        <f t="shared" ca="1" si="47"/>
        <v>-1</v>
      </c>
      <c r="P18" s="43">
        <f t="shared" ca="1" si="47"/>
        <v>0</v>
      </c>
      <c r="Q18" s="43">
        <f t="shared" ca="1" si="47"/>
        <v>2</v>
      </c>
      <c r="W18" s="47">
        <f t="shared" ca="1" si="5"/>
        <v>1</v>
      </c>
      <c r="X18" s="47">
        <f t="shared" ca="1" si="6"/>
        <v>-1</v>
      </c>
      <c r="Y18" s="47">
        <f t="shared" ca="1" si="7"/>
        <v>-1</v>
      </c>
      <c r="Z18" s="47">
        <f t="shared" ca="1" si="8"/>
        <v>3</v>
      </c>
      <c r="AA18" s="47">
        <f t="shared" ca="1" si="9"/>
        <v>1</v>
      </c>
      <c r="AB18" s="47">
        <f t="shared" ca="1" si="10"/>
        <v>0</v>
      </c>
      <c r="AC18" s="47">
        <f t="shared" ca="1" si="11"/>
        <v>2</v>
      </c>
      <c r="AD18" s="47">
        <f t="shared" ca="1" si="12"/>
        <v>-2</v>
      </c>
      <c r="AE18" s="47">
        <f t="shared" ca="1" si="13"/>
        <v>1</v>
      </c>
      <c r="AF18" s="47">
        <f t="shared" ca="1" si="14"/>
        <v>1</v>
      </c>
      <c r="AG18" s="47">
        <f t="shared" ca="1" si="15"/>
        <v>-1</v>
      </c>
      <c r="AH18" s="47">
        <f t="shared" ca="1" si="16"/>
        <v>-2</v>
      </c>
      <c r="AI18" s="47">
        <f t="shared" ca="1" si="17"/>
        <v>-1</v>
      </c>
      <c r="AJ18" s="47">
        <f t="shared" ca="1" si="18"/>
        <v>-1</v>
      </c>
      <c r="AK18" s="47">
        <f t="shared" ca="1" si="19"/>
        <v>0</v>
      </c>
      <c r="AL18" s="47">
        <f t="shared" ca="1" si="20"/>
        <v>2</v>
      </c>
      <c r="AN18" s="46">
        <f t="shared" ca="1" si="23"/>
        <v>229.43793376111117</v>
      </c>
      <c r="AO18" s="46">
        <f t="shared" ca="1" si="24"/>
        <v>108.66829090074707</v>
      </c>
      <c r="AP18" s="46">
        <f t="shared" ca="1" si="25"/>
        <v>131.81228484807184</v>
      </c>
      <c r="AQ18" s="46">
        <f t="shared" ca="1" si="26"/>
        <v>324.60681335298182</v>
      </c>
      <c r="AR18" s="46">
        <f t="shared" ca="1" si="27"/>
        <v>233.09836889289588</v>
      </c>
      <c r="AS18" s="46">
        <f t="shared" ca="1" si="28"/>
        <v>191.57733926704785</v>
      </c>
      <c r="AT18" s="46">
        <f t="shared" ca="1" si="29"/>
        <v>295.48521697182605</v>
      </c>
      <c r="AU18" s="46">
        <f t="shared" ca="1" si="30"/>
        <v>88.859096317083356</v>
      </c>
      <c r="AV18" s="46">
        <f t="shared" ca="1" si="31"/>
        <v>234.18147527337868</v>
      </c>
      <c r="AW18" s="46">
        <f t="shared" ca="1" si="32"/>
        <v>238.03948773484115</v>
      </c>
      <c r="AX18" s="46">
        <f t="shared" ca="1" si="33"/>
        <v>112.29810680242289</v>
      </c>
      <c r="AY18" s="46">
        <f t="shared" ca="1" si="34"/>
        <v>58.164462397175384</v>
      </c>
      <c r="AZ18" s="46">
        <f t="shared" ca="1" si="35"/>
        <v>132.43912428128132</v>
      </c>
      <c r="BA18" s="46">
        <f t="shared" ca="1" si="36"/>
        <v>143.16794819936524</v>
      </c>
      <c r="BB18" s="46">
        <f t="shared" ca="1" si="37"/>
        <v>176.47276116454572</v>
      </c>
      <c r="BC18" s="46">
        <f t="shared" ca="1" si="38"/>
        <v>280.35299027290529</v>
      </c>
    </row>
    <row r="19" spans="2:55" x14ac:dyDescent="0.2">
      <c r="B19" s="43">
        <f t="shared" ref="B19:Q19" ca="1" si="48">INT(B38/360*$S$5)</f>
        <v>-2</v>
      </c>
      <c r="C19" s="43">
        <f t="shared" ca="1" si="48"/>
        <v>1</v>
      </c>
      <c r="D19" s="43">
        <f t="shared" ca="1" si="48"/>
        <v>0</v>
      </c>
      <c r="E19" s="43">
        <f t="shared" ca="1" si="48"/>
        <v>3</v>
      </c>
      <c r="F19" s="43">
        <f t="shared" ca="1" si="48"/>
        <v>-2</v>
      </c>
      <c r="G19" s="43">
        <f t="shared" ca="1" si="48"/>
        <v>0</v>
      </c>
      <c r="H19" s="43">
        <f t="shared" ca="1" si="48"/>
        <v>0</v>
      </c>
      <c r="I19" s="43">
        <f t="shared" ca="1" si="48"/>
        <v>-2</v>
      </c>
      <c r="J19" s="43">
        <f t="shared" ca="1" si="48"/>
        <v>3</v>
      </c>
      <c r="K19" s="43">
        <f t="shared" ca="1" si="48"/>
        <v>-1</v>
      </c>
      <c r="L19" s="43">
        <f t="shared" ca="1" si="48"/>
        <v>1</v>
      </c>
      <c r="M19" s="43">
        <f t="shared" ca="1" si="48"/>
        <v>-2</v>
      </c>
      <c r="N19" s="43">
        <f t="shared" ca="1" si="48"/>
        <v>-1</v>
      </c>
      <c r="O19" s="43">
        <f t="shared" ca="1" si="48"/>
        <v>0</v>
      </c>
      <c r="P19" s="43">
        <f t="shared" ca="1" si="48"/>
        <v>3</v>
      </c>
      <c r="Q19" s="43">
        <f t="shared" ca="1" si="48"/>
        <v>-1</v>
      </c>
      <c r="W19" s="47">
        <f t="shared" ca="1" si="5"/>
        <v>-1</v>
      </c>
      <c r="X19" s="47">
        <f t="shared" ca="1" si="6"/>
        <v>1</v>
      </c>
      <c r="Y19" s="47">
        <f t="shared" ca="1" si="7"/>
        <v>0</v>
      </c>
      <c r="Z19" s="47">
        <f t="shared" ca="1" si="8"/>
        <v>3</v>
      </c>
      <c r="AA19" s="47">
        <f t="shared" ca="1" si="9"/>
        <v>-2</v>
      </c>
      <c r="AB19" s="47">
        <f t="shared" ca="1" si="10"/>
        <v>0</v>
      </c>
      <c r="AC19" s="47">
        <f t="shared" ca="1" si="11"/>
        <v>0</v>
      </c>
      <c r="AD19" s="47">
        <f t="shared" ca="1" si="12"/>
        <v>-2</v>
      </c>
      <c r="AE19" s="47">
        <f t="shared" ca="1" si="13"/>
        <v>3</v>
      </c>
      <c r="AF19" s="47">
        <f t="shared" ca="1" si="14"/>
        <v>-1</v>
      </c>
      <c r="AG19" s="47">
        <f t="shared" ca="1" si="15"/>
        <v>1</v>
      </c>
      <c r="AH19" s="47">
        <f t="shared" ca="1" si="16"/>
        <v>-2</v>
      </c>
      <c r="AI19" s="47">
        <f t="shared" ca="1" si="17"/>
        <v>-1</v>
      </c>
      <c r="AJ19" s="47">
        <f t="shared" ca="1" si="18"/>
        <v>0</v>
      </c>
      <c r="AK19" s="47">
        <f t="shared" ca="1" si="19"/>
        <v>3</v>
      </c>
      <c r="AL19" s="47">
        <f t="shared" ca="1" si="20"/>
        <v>-1</v>
      </c>
      <c r="AN19" s="46">
        <f t="shared" ca="1" si="23"/>
        <v>104.88960393089704</v>
      </c>
      <c r="AO19" s="46">
        <f t="shared" ca="1" si="24"/>
        <v>225.11208645845565</v>
      </c>
      <c r="AP19" s="46">
        <f t="shared" ca="1" si="25"/>
        <v>202.60991777148786</v>
      </c>
      <c r="AQ19" s="46">
        <f t="shared" ca="1" si="26"/>
        <v>315.89035559815005</v>
      </c>
      <c r="AR19" s="46">
        <f t="shared" ca="1" si="27"/>
        <v>99.784141133137311</v>
      </c>
      <c r="AS19" s="46">
        <f t="shared" ca="1" si="28"/>
        <v>173.1843300958862</v>
      </c>
      <c r="AT19" s="46">
        <f t="shared" ca="1" si="29"/>
        <v>185.5186404464051</v>
      </c>
      <c r="AU19" s="46">
        <f t="shared" ca="1" si="30"/>
        <v>64.980871037613582</v>
      </c>
      <c r="AV19" s="46">
        <f t="shared" ca="1" si="31"/>
        <v>343.63267892439808</v>
      </c>
      <c r="AW19" s="46">
        <f t="shared" ca="1" si="32"/>
        <v>104.25328653713136</v>
      </c>
      <c r="AX19" s="46">
        <f t="shared" ca="1" si="33"/>
        <v>235.93853140887586</v>
      </c>
      <c r="AY19" s="46">
        <f t="shared" ca="1" si="34"/>
        <v>82.169534895824057</v>
      </c>
      <c r="AZ19" s="46">
        <f t="shared" ca="1" si="35"/>
        <v>141.06477733537611</v>
      </c>
      <c r="BA19" s="46">
        <f t="shared" ca="1" si="36"/>
        <v>199.11836261551812</v>
      </c>
      <c r="BB19" s="46">
        <f t="shared" ca="1" si="37"/>
        <v>356.275015601061</v>
      </c>
      <c r="BC19" s="46">
        <f t="shared" ca="1" si="38"/>
        <v>141.53132744486481</v>
      </c>
    </row>
    <row r="20" spans="2:55" x14ac:dyDescent="0.2">
      <c r="B20" s="43">
        <f t="shared" ref="B20:Q20" ca="1" si="49">INT(B39/360*$S$5)</f>
        <v>-2</v>
      </c>
      <c r="C20" s="43">
        <f t="shared" ca="1" si="49"/>
        <v>3</v>
      </c>
      <c r="D20" s="43">
        <f t="shared" ca="1" si="49"/>
        <v>0</v>
      </c>
      <c r="E20" s="43">
        <f t="shared" ca="1" si="49"/>
        <v>-1</v>
      </c>
      <c r="F20" s="43">
        <f t="shared" ca="1" si="49"/>
        <v>-2</v>
      </c>
      <c r="G20" s="43">
        <f t="shared" ca="1" si="49"/>
        <v>3</v>
      </c>
      <c r="H20" s="43">
        <f t="shared" ca="1" si="49"/>
        <v>1</v>
      </c>
      <c r="I20" s="43">
        <f t="shared" ca="1" si="49"/>
        <v>1</v>
      </c>
      <c r="J20" s="43">
        <f t="shared" ca="1" si="49"/>
        <v>3</v>
      </c>
      <c r="K20" s="43">
        <f t="shared" ca="1" si="49"/>
        <v>-1</v>
      </c>
      <c r="L20" s="43">
        <f t="shared" ca="1" si="49"/>
        <v>0</v>
      </c>
      <c r="M20" s="43">
        <f t="shared" ca="1" si="49"/>
        <v>-3</v>
      </c>
      <c r="N20" s="43">
        <f t="shared" ca="1" si="49"/>
        <v>-2</v>
      </c>
      <c r="O20" s="43">
        <f t="shared" ca="1" si="49"/>
        <v>-1</v>
      </c>
      <c r="P20" s="43">
        <f t="shared" ca="1" si="49"/>
        <v>-2</v>
      </c>
      <c r="Q20" s="43">
        <f t="shared" ca="1" si="49"/>
        <v>1</v>
      </c>
      <c r="W20" s="47">
        <f t="shared" ca="1" si="5"/>
        <v>-2</v>
      </c>
      <c r="X20" s="47">
        <f t="shared" ca="1" si="6"/>
        <v>3</v>
      </c>
      <c r="Y20" s="47">
        <f t="shared" ca="1" si="7"/>
        <v>0</v>
      </c>
      <c r="Z20" s="47">
        <f t="shared" ca="1" si="8"/>
        <v>-1</v>
      </c>
      <c r="AA20" s="47">
        <f t="shared" ca="1" si="9"/>
        <v>-2</v>
      </c>
      <c r="AB20" s="47">
        <f t="shared" ca="1" si="10"/>
        <v>3</v>
      </c>
      <c r="AC20" s="47">
        <f t="shared" ca="1" si="11"/>
        <v>2</v>
      </c>
      <c r="AD20" s="47">
        <f t="shared" ca="1" si="12"/>
        <v>1</v>
      </c>
      <c r="AE20" s="47">
        <f t="shared" ca="1" si="13"/>
        <v>3</v>
      </c>
      <c r="AF20" s="47">
        <f t="shared" ca="1" si="14"/>
        <v>-1</v>
      </c>
      <c r="AG20" s="47">
        <f t="shared" ca="1" si="15"/>
        <v>0</v>
      </c>
      <c r="AH20" s="47">
        <f t="shared" ca="1" si="16"/>
        <v>-3</v>
      </c>
      <c r="AI20" s="47">
        <f t="shared" ca="1" si="17"/>
        <v>-2</v>
      </c>
      <c r="AJ20" s="47">
        <f t="shared" ca="1" si="18"/>
        <v>-1</v>
      </c>
      <c r="AK20" s="47">
        <f t="shared" ca="1" si="19"/>
        <v>-2</v>
      </c>
      <c r="AL20" s="47">
        <f t="shared" ca="1" si="20"/>
        <v>1</v>
      </c>
      <c r="AN20" s="46">
        <f t="shared" ca="1" si="23"/>
        <v>71.115897362670268</v>
      </c>
      <c r="AO20" s="46">
        <f t="shared" ca="1" si="24"/>
        <v>315.33023853089571</v>
      </c>
      <c r="AP20" s="46">
        <f t="shared" ca="1" si="25"/>
        <v>180.71359646221686</v>
      </c>
      <c r="AQ20" s="46">
        <f t="shared" ca="1" si="26"/>
        <v>125.98130952095909</v>
      </c>
      <c r="AR20" s="46">
        <f t="shared" ca="1" si="27"/>
        <v>87.394072175353799</v>
      </c>
      <c r="AS20" s="46">
        <f t="shared" ca="1" si="28"/>
        <v>331.07100476524312</v>
      </c>
      <c r="AT20" s="46">
        <f t="shared" ca="1" si="29"/>
        <v>259.36257288680605</v>
      </c>
      <c r="AU20" s="46">
        <f t="shared" ca="1" si="30"/>
        <v>226.65219569299509</v>
      </c>
      <c r="AV20" s="46">
        <f t="shared" ca="1" si="31"/>
        <v>335.61708959574173</v>
      </c>
      <c r="AW20" s="46">
        <f t="shared" ca="1" si="32"/>
        <v>149.44851325121184</v>
      </c>
      <c r="AX20" s="46">
        <f t="shared" ca="1" si="33"/>
        <v>197.17432004518668</v>
      </c>
      <c r="AY20" s="46">
        <f t="shared" ca="1" si="34"/>
        <v>15.855353982397506</v>
      </c>
      <c r="AZ20" s="46">
        <f t="shared" ca="1" si="35"/>
        <v>58.001363298854116</v>
      </c>
      <c r="BA20" s="46">
        <f t="shared" ca="1" si="36"/>
        <v>111.64593027626448</v>
      </c>
      <c r="BB20" s="46">
        <f t="shared" ca="1" si="37"/>
        <v>90.166075669038946</v>
      </c>
      <c r="BC20" s="46">
        <f t="shared" ca="1" si="38"/>
        <v>223.96203432890283</v>
      </c>
    </row>
    <row r="21" spans="2:55" x14ac:dyDescent="0.2">
      <c r="B21" s="43">
        <f t="shared" ref="B21:Q21" ca="1" si="50">INT(B40/360*$S$5)</f>
        <v>-2</v>
      </c>
      <c r="C21" s="43">
        <f t="shared" ca="1" si="50"/>
        <v>3</v>
      </c>
      <c r="D21" s="43">
        <f t="shared" ca="1" si="50"/>
        <v>-1</v>
      </c>
      <c r="E21" s="43">
        <f t="shared" ca="1" si="50"/>
        <v>2</v>
      </c>
      <c r="F21" s="43">
        <f t="shared" ca="1" si="50"/>
        <v>2</v>
      </c>
      <c r="G21" s="43">
        <f t="shared" ca="1" si="50"/>
        <v>-1</v>
      </c>
      <c r="H21" s="43">
        <f t="shared" ca="1" si="50"/>
        <v>-3</v>
      </c>
      <c r="I21" s="43">
        <f t="shared" ca="1" si="50"/>
        <v>-1</v>
      </c>
      <c r="J21" s="43">
        <f t="shared" ca="1" si="50"/>
        <v>1</v>
      </c>
      <c r="K21" s="43">
        <f t="shared" ca="1" si="50"/>
        <v>2</v>
      </c>
      <c r="L21" s="43">
        <f t="shared" ca="1" si="50"/>
        <v>3</v>
      </c>
      <c r="M21" s="43">
        <f t="shared" ca="1" si="50"/>
        <v>3</v>
      </c>
      <c r="N21" s="43">
        <f t="shared" ca="1" si="50"/>
        <v>-2</v>
      </c>
      <c r="O21" s="43">
        <f t="shared" ca="1" si="50"/>
        <v>0</v>
      </c>
      <c r="P21" s="43">
        <f t="shared" ca="1" si="50"/>
        <v>3</v>
      </c>
      <c r="Q21" s="43">
        <f t="shared" ca="1" si="50"/>
        <v>0</v>
      </c>
      <c r="W21" s="47">
        <f t="shared" ca="1" si="5"/>
        <v>-2</v>
      </c>
      <c r="X21" s="47">
        <f t="shared" ca="1" si="6"/>
        <v>3</v>
      </c>
      <c r="Y21" s="47">
        <f t="shared" ca="1" si="7"/>
        <v>-1</v>
      </c>
      <c r="Z21" s="47">
        <f t="shared" ca="1" si="8"/>
        <v>2</v>
      </c>
      <c r="AA21" s="47">
        <f t="shared" ca="1" si="9"/>
        <v>2</v>
      </c>
      <c r="AB21" s="47">
        <f t="shared" ca="1" si="10"/>
        <v>-1</v>
      </c>
      <c r="AC21" s="47">
        <f t="shared" ca="1" si="11"/>
        <v>-3</v>
      </c>
      <c r="AD21" s="47">
        <f t="shared" ca="1" si="12"/>
        <v>-1</v>
      </c>
      <c r="AE21" s="47">
        <f t="shared" ca="1" si="13"/>
        <v>1</v>
      </c>
      <c r="AF21" s="47">
        <f t="shared" ca="1" si="14"/>
        <v>2</v>
      </c>
      <c r="AG21" s="47">
        <f t="shared" ca="1" si="15"/>
        <v>3</v>
      </c>
      <c r="AH21" s="47">
        <f t="shared" ca="1" si="16"/>
        <v>3</v>
      </c>
      <c r="AI21" s="47">
        <f t="shared" ca="1" si="17"/>
        <v>-2</v>
      </c>
      <c r="AJ21" s="47">
        <f t="shared" ca="1" si="18"/>
        <v>0</v>
      </c>
      <c r="AK21" s="47">
        <f t="shared" ca="1" si="19"/>
        <v>3</v>
      </c>
      <c r="AL21" s="47">
        <f t="shared" ca="1" si="20"/>
        <v>0</v>
      </c>
      <c r="AN21" s="46">
        <f t="shared" ca="1" si="23"/>
        <v>71.401789723309804</v>
      </c>
      <c r="AO21" s="46">
        <f t="shared" ca="1" si="24"/>
        <v>358.91479788406946</v>
      </c>
      <c r="AP21" s="46">
        <f t="shared" ca="1" si="25"/>
        <v>121.18230925100137</v>
      </c>
      <c r="AQ21" s="46">
        <f t="shared" ca="1" si="26"/>
        <v>262.18113246797327</v>
      </c>
      <c r="AR21" s="46">
        <f t="shared" ca="1" si="27"/>
        <v>299.4983531345809</v>
      </c>
      <c r="AS21" s="46">
        <f t="shared" ca="1" si="28"/>
        <v>108.62895845694902</v>
      </c>
      <c r="AT21" s="46">
        <f t="shared" ca="1" si="29"/>
        <v>38.928905497617926</v>
      </c>
      <c r="AU21" s="46">
        <f t="shared" ca="1" si="30"/>
        <v>152.75542125750195</v>
      </c>
      <c r="AV21" s="46">
        <f t="shared" ca="1" si="31"/>
        <v>235.83825350711419</v>
      </c>
      <c r="AW21" s="46">
        <f ca="1">IF(K59+MOD(AV21,$S$5)*$AT$2+MOD(AW20,$S$5)*$AS$3+MOD(AV20,$S$5)*$AT$3&gt;360,K59+MOD(AV21,$S$5)*$AT$2+MOD(AW20,$S$5)*$AS$3+MOD(AV20,$S$5)*$AT$3-360,K59+MOD(AV21,$S$5)*$AT$2+MOD(AW20,$S$5)*$AS$3+MOD(AV20,$S$5)*$AT$3)</f>
        <v>263.40831719989376</v>
      </c>
      <c r="AX21" s="46">
        <f t="shared" ca="1" si="33"/>
        <v>329.37649149653032</v>
      </c>
      <c r="AY21" s="46">
        <f t="shared" ca="1" si="34"/>
        <v>348.42187021083697</v>
      </c>
      <c r="AZ21" s="46">
        <f t="shared" ca="1" si="35"/>
        <v>98.722963800810859</v>
      </c>
      <c r="BA21" s="46">
        <f t="shared" ca="1" si="36"/>
        <v>200.27161399299064</v>
      </c>
      <c r="BB21" s="46">
        <f t="shared" ca="1" si="37"/>
        <v>343.88210467709473</v>
      </c>
      <c r="BC21" s="46">
        <f t="shared" ca="1" si="38"/>
        <v>189.37431934073362</v>
      </c>
    </row>
    <row r="22" spans="2:55" x14ac:dyDescent="0.2">
      <c r="B22" s="43">
        <f t="shared" ref="B22:Q22" ca="1" si="51">INT(B41/360*$S$5)</f>
        <v>0</v>
      </c>
      <c r="C22" s="43">
        <f t="shared" ca="1" si="51"/>
        <v>3</v>
      </c>
      <c r="D22" s="43">
        <f t="shared" ca="1" si="51"/>
        <v>1</v>
      </c>
      <c r="E22" s="43">
        <f t="shared" ca="1" si="51"/>
        <v>3</v>
      </c>
      <c r="F22" s="43">
        <f t="shared" ca="1" si="51"/>
        <v>-1</v>
      </c>
      <c r="G22" s="43">
        <f t="shared" ca="1" si="51"/>
        <v>1</v>
      </c>
      <c r="H22" s="43">
        <f t="shared" ca="1" si="51"/>
        <v>1</v>
      </c>
      <c r="I22" s="43">
        <f t="shared" ca="1" si="51"/>
        <v>0</v>
      </c>
      <c r="J22" s="43">
        <f t="shared" ca="1" si="51"/>
        <v>2</v>
      </c>
      <c r="K22" s="43">
        <f t="shared" ca="1" si="51"/>
        <v>-2</v>
      </c>
      <c r="L22" s="43">
        <f t="shared" ca="1" si="51"/>
        <v>-2</v>
      </c>
      <c r="M22" s="43">
        <f t="shared" ca="1" si="51"/>
        <v>-3</v>
      </c>
      <c r="N22" s="43">
        <f t="shared" ca="1" si="51"/>
        <v>0</v>
      </c>
      <c r="O22" s="43">
        <f t="shared" ca="1" si="51"/>
        <v>-3</v>
      </c>
      <c r="P22" s="43">
        <f t="shared" ca="1" si="51"/>
        <v>-1</v>
      </c>
      <c r="Q22" s="43">
        <f t="shared" ca="1" si="51"/>
        <v>-1</v>
      </c>
      <c r="W22" s="47">
        <f t="shared" ca="1" si="5"/>
        <v>0</v>
      </c>
      <c r="X22" s="47">
        <f t="shared" ca="1" si="6"/>
        <v>3</v>
      </c>
      <c r="Y22" s="47">
        <f t="shared" ca="1" si="7"/>
        <v>1</v>
      </c>
      <c r="Z22" s="47">
        <f t="shared" ca="1" si="8"/>
        <v>3</v>
      </c>
      <c r="AA22" s="47">
        <f t="shared" ca="1" si="9"/>
        <v>-1</v>
      </c>
      <c r="AB22" s="47">
        <f t="shared" ca="1" si="10"/>
        <v>1</v>
      </c>
      <c r="AC22" s="47">
        <f t="shared" ca="1" si="11"/>
        <v>1</v>
      </c>
      <c r="AD22" s="47">
        <f t="shared" ca="1" si="12"/>
        <v>0</v>
      </c>
      <c r="AE22" s="47">
        <f t="shared" ca="1" si="13"/>
        <v>2</v>
      </c>
      <c r="AF22" s="47">
        <f t="shared" ca="1" si="14"/>
        <v>-2</v>
      </c>
      <c r="AG22" s="47">
        <f t="shared" ca="1" si="15"/>
        <v>-2</v>
      </c>
      <c r="AH22" s="47">
        <f t="shared" ca="1" si="16"/>
        <v>-3</v>
      </c>
      <c r="AI22" s="47">
        <f t="shared" ca="1" si="17"/>
        <v>0</v>
      </c>
      <c r="AJ22" s="47">
        <f t="shared" ca="1" si="18"/>
        <v>-3</v>
      </c>
      <c r="AK22" s="47">
        <f t="shared" ca="1" si="19"/>
        <v>0</v>
      </c>
      <c r="AL22" s="47">
        <f t="shared" ca="1" si="20"/>
        <v>-1</v>
      </c>
      <c r="AN22" s="46">
        <f t="shared" ca="1" si="23"/>
        <v>161.98372033667636</v>
      </c>
      <c r="AO22" s="46">
        <f t="shared" ca="1" si="24"/>
        <v>312.75828945377123</v>
      </c>
      <c r="AP22" s="46">
        <f t="shared" ca="1" si="25"/>
        <v>229.50301079107237</v>
      </c>
      <c r="AQ22" s="46">
        <f t="shared" ca="1" si="26"/>
        <v>319.33161338120141</v>
      </c>
      <c r="AR22" s="46">
        <f t="shared" ca="1" si="27"/>
        <v>139.02405355602227</v>
      </c>
      <c r="AS22" s="46">
        <f t="shared" ca="1" si="28"/>
        <v>238.81282240505533</v>
      </c>
      <c r="AT22" s="46">
        <f t="shared" ca="1" si="29"/>
        <v>211.55324141207916</v>
      </c>
      <c r="AU22" s="46">
        <f t="shared" ca="1" si="30"/>
        <v>195.50042489437516</v>
      </c>
      <c r="AV22" s="46">
        <f t="shared" ca="1" si="31"/>
        <v>276.11293855496166</v>
      </c>
      <c r="AW22" s="46">
        <f t="shared" ca="1" si="32"/>
        <v>63.322510969757701</v>
      </c>
      <c r="AX22" s="46">
        <f t="shared" ca="1" si="33"/>
        <v>67.721409134210376</v>
      </c>
      <c r="AY22" s="46">
        <f t="shared" ca="1" si="34"/>
        <v>32.195784723240394</v>
      </c>
      <c r="AZ22" s="46">
        <f t="shared" ca="1" si="35"/>
        <v>187.92651600397767</v>
      </c>
      <c r="BA22" s="46">
        <f t="shared" ca="1" si="36"/>
        <v>22.352075595865053</v>
      </c>
      <c r="BB22" s="46">
        <f t="shared" ca="1" si="37"/>
        <v>155.96141496519857</v>
      </c>
      <c r="BC22" s="46">
        <f t="shared" ca="1" si="38"/>
        <v>122.24336582420329</v>
      </c>
    </row>
    <row r="24" spans="2:55" x14ac:dyDescent="0.2">
      <c r="B24" s="42" t="s">
        <v>66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</row>
    <row r="25" spans="2:55" x14ac:dyDescent="0.2"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</row>
    <row r="26" spans="2:55" x14ac:dyDescent="0.2">
      <c r="B26" s="42">
        <f ca="1">B45-180+(MOD($S$5,2)/2)/$S$5*360</f>
        <v>19.32097926466172</v>
      </c>
      <c r="C26" s="42">
        <f t="shared" ref="C26:Q26" ca="1" si="52">C45-180+(MOD($S$5,2)/2)/$S$5*360</f>
        <v>99.462038654844761</v>
      </c>
      <c r="D26" s="42">
        <f t="shared" ca="1" si="52"/>
        <v>45.005633399471819</v>
      </c>
      <c r="E26" s="42">
        <f t="shared" ca="1" si="52"/>
        <v>-62.759830794287282</v>
      </c>
      <c r="F26" s="42">
        <f t="shared" ca="1" si="52"/>
        <v>-101.10266323325878</v>
      </c>
      <c r="G26" s="42">
        <f t="shared" ca="1" si="52"/>
        <v>-90.858701192766191</v>
      </c>
      <c r="H26" s="42">
        <f t="shared" ca="1" si="52"/>
        <v>-127.65742616433251</v>
      </c>
      <c r="I26" s="42">
        <f t="shared" ca="1" si="52"/>
        <v>-101.48596421987504</v>
      </c>
      <c r="J26" s="42">
        <f t="shared" ca="1" si="52"/>
        <v>147.84210861105282</v>
      </c>
      <c r="K26" s="42">
        <f t="shared" ca="1" si="52"/>
        <v>-47.681201616802738</v>
      </c>
      <c r="L26" s="42">
        <f t="shared" ca="1" si="52"/>
        <v>-139.24686153569567</v>
      </c>
      <c r="M26" s="42">
        <f t="shared" ca="1" si="52"/>
        <v>-132.23003768908296</v>
      </c>
      <c r="N26" s="42">
        <f t="shared" ca="1" si="52"/>
        <v>67.640774979057127</v>
      </c>
      <c r="O26" s="42">
        <f t="shared" ca="1" si="52"/>
        <v>81.883802201986143</v>
      </c>
      <c r="P26" s="42">
        <f t="shared" ca="1" si="52"/>
        <v>-76.530571053041569</v>
      </c>
      <c r="Q26" s="42">
        <f t="shared" ca="1" si="52"/>
        <v>146.17786571759137</v>
      </c>
    </row>
    <row r="27" spans="2:55" x14ac:dyDescent="0.2">
      <c r="B27" s="42">
        <f t="shared" ref="B27:Q27" ca="1" si="53">B46-180+(MOD($S$5,2)/2)/$S$5*360</f>
        <v>-73.725267756870011</v>
      </c>
      <c r="C27" s="42">
        <f t="shared" ca="1" si="53"/>
        <v>-130.47756801750771</v>
      </c>
      <c r="D27" s="42">
        <f t="shared" ca="1" si="53"/>
        <v>193.25489834429328</v>
      </c>
      <c r="E27" s="42">
        <f t="shared" ca="1" si="53"/>
        <v>162.72303786671677</v>
      </c>
      <c r="F27" s="42">
        <f t="shared" ca="1" si="53"/>
        <v>-67.870836837840727</v>
      </c>
      <c r="G27" s="42">
        <f t="shared" ca="1" si="53"/>
        <v>124.40868496790561</v>
      </c>
      <c r="H27" s="42">
        <f t="shared" ca="1" si="53"/>
        <v>109.37292985763996</v>
      </c>
      <c r="I27" s="42">
        <f t="shared" ca="1" si="53"/>
        <v>-38.171197093772008</v>
      </c>
      <c r="J27" s="42">
        <f t="shared" ca="1" si="53"/>
        <v>-25.84270187106166</v>
      </c>
      <c r="K27" s="42">
        <f t="shared" ca="1" si="53"/>
        <v>92.906222276608148</v>
      </c>
      <c r="L27" s="42">
        <f t="shared" ca="1" si="53"/>
        <v>36.36246775753385</v>
      </c>
      <c r="M27" s="42">
        <f t="shared" ca="1" si="53"/>
        <v>-119.49719617830216</v>
      </c>
      <c r="N27" s="42">
        <f t="shared" ca="1" si="53"/>
        <v>66.68205128892852</v>
      </c>
      <c r="O27" s="42">
        <f t="shared" ca="1" si="53"/>
        <v>194.49708005860333</v>
      </c>
      <c r="P27" s="42">
        <f t="shared" ca="1" si="53"/>
        <v>133.92678960476053</v>
      </c>
      <c r="Q27" s="42">
        <f t="shared" ca="1" si="53"/>
        <v>185.44581151282068</v>
      </c>
    </row>
    <row r="28" spans="2:55" x14ac:dyDescent="0.2">
      <c r="B28" s="42">
        <f t="shared" ref="B28:Q28" ca="1" si="54">B47-180+(MOD($S$5,2)/2)/$S$5*360</f>
        <v>-135.5966761061762</v>
      </c>
      <c r="C28" s="42">
        <f t="shared" ca="1" si="54"/>
        <v>-112.07172761578342</v>
      </c>
      <c r="D28" s="42">
        <f t="shared" ca="1" si="54"/>
        <v>-73.617776359826493</v>
      </c>
      <c r="E28" s="42">
        <f t="shared" ca="1" si="54"/>
        <v>39.688173235398736</v>
      </c>
      <c r="F28" s="42">
        <f t="shared" ca="1" si="54"/>
        <v>-95.390686768890404</v>
      </c>
      <c r="G28" s="42">
        <f t="shared" ca="1" si="54"/>
        <v>-31.551437240876762</v>
      </c>
      <c r="H28" s="42">
        <f t="shared" ca="1" si="54"/>
        <v>63.795101163012603</v>
      </c>
      <c r="I28" s="42">
        <f t="shared" ca="1" si="54"/>
        <v>147.19430804299475</v>
      </c>
      <c r="J28" s="42">
        <f t="shared" ca="1" si="54"/>
        <v>122.516830667897</v>
      </c>
      <c r="K28" s="42">
        <f t="shared" ca="1" si="54"/>
        <v>-74.202502413729235</v>
      </c>
      <c r="L28" s="42">
        <f t="shared" ca="1" si="54"/>
        <v>-0.86586326280020032</v>
      </c>
      <c r="M28" s="42">
        <f t="shared" ca="1" si="54"/>
        <v>168.6888811865403</v>
      </c>
      <c r="N28" s="42">
        <f t="shared" ca="1" si="54"/>
        <v>146.77527562488507</v>
      </c>
      <c r="O28" s="42">
        <f t="shared" ca="1" si="54"/>
        <v>-151.63171674181751</v>
      </c>
      <c r="P28" s="42">
        <f t="shared" ca="1" si="54"/>
        <v>195.05268485657126</v>
      </c>
      <c r="Q28" s="42">
        <f t="shared" ca="1" si="54"/>
        <v>-51.823725086543575</v>
      </c>
    </row>
    <row r="29" spans="2:55" x14ac:dyDescent="0.2">
      <c r="B29" s="42">
        <f t="shared" ref="B29:Q29" ca="1" si="55">B48-180+(MOD($S$5,2)/2)/$S$5*360</f>
        <v>-30.665722230290452</v>
      </c>
      <c r="C29" s="42">
        <f t="shared" ca="1" si="55"/>
        <v>92.521359679848288</v>
      </c>
      <c r="D29" s="42">
        <f t="shared" ca="1" si="55"/>
        <v>129.20043151523407</v>
      </c>
      <c r="E29" s="42">
        <f t="shared" ca="1" si="55"/>
        <v>-142.79540409322269</v>
      </c>
      <c r="F29" s="42">
        <f t="shared" ca="1" si="55"/>
        <v>-85.657373319776056</v>
      </c>
      <c r="G29" s="42">
        <f t="shared" ca="1" si="55"/>
        <v>-99.227271574378435</v>
      </c>
      <c r="H29" s="42">
        <f t="shared" ca="1" si="55"/>
        <v>85.256452832998278</v>
      </c>
      <c r="I29" s="42">
        <f t="shared" ca="1" si="55"/>
        <v>45.081021659160612</v>
      </c>
      <c r="J29" s="42">
        <f t="shared" ca="1" si="55"/>
        <v>58.433853604477022</v>
      </c>
      <c r="K29" s="42">
        <f t="shared" ca="1" si="55"/>
        <v>105.46764250325911</v>
      </c>
      <c r="L29" s="42">
        <f t="shared" ca="1" si="55"/>
        <v>-13.027387227864306</v>
      </c>
      <c r="M29" s="42">
        <f t="shared" ca="1" si="55"/>
        <v>-15.56864183034757</v>
      </c>
      <c r="N29" s="42">
        <f t="shared" ca="1" si="55"/>
        <v>-37.009346227860902</v>
      </c>
      <c r="O29" s="42">
        <f t="shared" ca="1" si="55"/>
        <v>-67.549273545931541</v>
      </c>
      <c r="P29" s="42">
        <f t="shared" ca="1" si="55"/>
        <v>98.547373350242751</v>
      </c>
      <c r="Q29" s="42">
        <f t="shared" ca="1" si="55"/>
        <v>32.868963960084173</v>
      </c>
    </row>
    <row r="30" spans="2:55" x14ac:dyDescent="0.2">
      <c r="B30" s="42">
        <f t="shared" ref="B30:Q30" ca="1" si="56">B49-180+(MOD($S$5,2)/2)/$S$5*360</f>
        <v>-140.57880026855349</v>
      </c>
      <c r="C30" s="42">
        <f t="shared" ca="1" si="56"/>
        <v>176.96187655924359</v>
      </c>
      <c r="D30" s="42">
        <f t="shared" ca="1" si="56"/>
        <v>-20.93587217433527</v>
      </c>
      <c r="E30" s="42">
        <f t="shared" ca="1" si="56"/>
        <v>-31.672925517123669</v>
      </c>
      <c r="F30" s="42">
        <f t="shared" ca="1" si="56"/>
        <v>-59.054300292754448</v>
      </c>
      <c r="G30" s="42">
        <f t="shared" ca="1" si="56"/>
        <v>195.19188710397458</v>
      </c>
      <c r="H30" s="42">
        <f t="shared" ca="1" si="56"/>
        <v>-6.5588815713353874</v>
      </c>
      <c r="I30" s="42">
        <f t="shared" ca="1" si="56"/>
        <v>22.690896568507259</v>
      </c>
      <c r="J30" s="42">
        <f t="shared" ca="1" si="56"/>
        <v>58.617521036560746</v>
      </c>
      <c r="K30" s="42">
        <f t="shared" ca="1" si="56"/>
        <v>-53.608728599541294</v>
      </c>
      <c r="L30" s="42">
        <f t="shared" ca="1" si="56"/>
        <v>43.572927995787538</v>
      </c>
      <c r="M30" s="42">
        <f t="shared" ca="1" si="56"/>
        <v>28.201734092728902</v>
      </c>
      <c r="N30" s="42">
        <f t="shared" ca="1" si="56"/>
        <v>146.70011631389303</v>
      </c>
      <c r="O30" s="42">
        <f t="shared" ca="1" si="56"/>
        <v>174.72925927266863</v>
      </c>
      <c r="P30" s="42">
        <f t="shared" ca="1" si="56"/>
        <v>119.83622361419968</v>
      </c>
      <c r="Q30" s="42">
        <f t="shared" ca="1" si="56"/>
        <v>140.75531398170864</v>
      </c>
    </row>
    <row r="31" spans="2:55" x14ac:dyDescent="0.2">
      <c r="B31" s="42">
        <f t="shared" ref="B31:Q31" ca="1" si="57">B50-180+(MOD($S$5,2)/2)/$S$5*360</f>
        <v>-80.052082774250579</v>
      </c>
      <c r="C31" s="42">
        <f t="shared" ca="1" si="57"/>
        <v>-74.558625528562658</v>
      </c>
      <c r="D31" s="42">
        <f t="shared" ca="1" si="57"/>
        <v>114.3200204204142</v>
      </c>
      <c r="E31" s="42">
        <f t="shared" ca="1" si="57"/>
        <v>161.2490515877725</v>
      </c>
      <c r="F31" s="42">
        <f t="shared" ca="1" si="57"/>
        <v>155.33356687317217</v>
      </c>
      <c r="G31" s="42">
        <f t="shared" ca="1" si="57"/>
        <v>103.7564730753359</v>
      </c>
      <c r="H31" s="42">
        <f t="shared" ca="1" si="57"/>
        <v>141.97680475181977</v>
      </c>
      <c r="I31" s="42">
        <f t="shared" ca="1" si="57"/>
        <v>85.295344854665089</v>
      </c>
      <c r="J31" s="42">
        <f t="shared" ca="1" si="57"/>
        <v>-66.341144848555388</v>
      </c>
      <c r="K31" s="42">
        <f t="shared" ca="1" si="57"/>
        <v>117.66682092571243</v>
      </c>
      <c r="L31" s="42">
        <f t="shared" ca="1" si="57"/>
        <v>-94.753506539770285</v>
      </c>
      <c r="M31" s="42">
        <f t="shared" ca="1" si="57"/>
        <v>3.0073854866218603</v>
      </c>
      <c r="N31" s="42">
        <f t="shared" ca="1" si="57"/>
        <v>-95.37261864146096</v>
      </c>
      <c r="O31" s="42">
        <f t="shared" ca="1" si="57"/>
        <v>156.25603372751107</v>
      </c>
      <c r="P31" s="42">
        <f t="shared" ca="1" si="57"/>
        <v>-62.91967231613377</v>
      </c>
      <c r="Q31" s="42">
        <f t="shared" ca="1" si="57"/>
        <v>-69.42242917827879</v>
      </c>
    </row>
    <row r="32" spans="2:55" x14ac:dyDescent="0.2">
      <c r="B32" s="42">
        <f t="shared" ref="B32:Q32" ca="1" si="58">B51-180+(MOD($S$5,2)/2)/$S$5*360</f>
        <v>115.11398023904563</v>
      </c>
      <c r="C32" s="42">
        <f t="shared" ca="1" si="58"/>
        <v>54.620571819624885</v>
      </c>
      <c r="D32" s="42">
        <f t="shared" ca="1" si="58"/>
        <v>103.55061058526893</v>
      </c>
      <c r="E32" s="42">
        <f t="shared" ca="1" si="58"/>
        <v>86.707522937897281</v>
      </c>
      <c r="F32" s="42">
        <f t="shared" ca="1" si="58"/>
        <v>161.83605534787222</v>
      </c>
      <c r="G32" s="42">
        <f t="shared" ca="1" si="58"/>
        <v>-139.84092591522432</v>
      </c>
      <c r="H32" s="42">
        <f t="shared" ca="1" si="58"/>
        <v>-90.212349771221213</v>
      </c>
      <c r="I32" s="42">
        <f t="shared" ca="1" si="58"/>
        <v>-143.78615652965607</v>
      </c>
      <c r="J32" s="42">
        <f t="shared" ca="1" si="58"/>
        <v>132.42299377472585</v>
      </c>
      <c r="K32" s="42">
        <f t="shared" ca="1" si="58"/>
        <v>100.48361668679776</v>
      </c>
      <c r="L32" s="42">
        <f t="shared" ca="1" si="58"/>
        <v>29.487470178880574</v>
      </c>
      <c r="M32" s="42">
        <f t="shared" ca="1" si="58"/>
        <v>95.340668935342975</v>
      </c>
      <c r="N32" s="42">
        <f t="shared" ca="1" si="58"/>
        <v>50.214066924657644</v>
      </c>
      <c r="O32" s="42">
        <f t="shared" ca="1" si="58"/>
        <v>162.83535377834812</v>
      </c>
      <c r="P32" s="42">
        <f t="shared" ca="1" si="58"/>
        <v>-5.4356526808808603</v>
      </c>
      <c r="Q32" s="42">
        <f t="shared" ca="1" si="58"/>
        <v>-79.006035520937658</v>
      </c>
    </row>
    <row r="33" spans="2:17" x14ac:dyDescent="0.2">
      <c r="B33" s="42">
        <f t="shared" ref="B33:Q33" ca="1" si="59">B52-180+(MOD($S$5,2)/2)/$S$5*360</f>
        <v>160.45642882978331</v>
      </c>
      <c r="C33" s="42">
        <f t="shared" ca="1" si="59"/>
        <v>-57.78811127866301</v>
      </c>
      <c r="D33" s="42">
        <f t="shared" ca="1" si="59"/>
        <v>159.05130193026798</v>
      </c>
      <c r="E33" s="42">
        <f t="shared" ca="1" si="59"/>
        <v>96.892414820238386</v>
      </c>
      <c r="F33" s="42">
        <f t="shared" ca="1" si="59"/>
        <v>-33.390483251353643</v>
      </c>
      <c r="G33" s="42">
        <f t="shared" ca="1" si="59"/>
        <v>70.234313614594996</v>
      </c>
      <c r="H33" s="42">
        <f t="shared" ca="1" si="59"/>
        <v>51.397750660245109</v>
      </c>
      <c r="I33" s="42">
        <f t="shared" ca="1" si="59"/>
        <v>138.14140481903013</v>
      </c>
      <c r="J33" s="42">
        <f t="shared" ca="1" si="59"/>
        <v>132.99460136640124</v>
      </c>
      <c r="K33" s="42">
        <f t="shared" ca="1" si="59"/>
        <v>-127.44798468724157</v>
      </c>
      <c r="L33" s="42">
        <f t="shared" ca="1" si="59"/>
        <v>-31.032042899804434</v>
      </c>
      <c r="M33" s="42">
        <f t="shared" ca="1" si="59"/>
        <v>141.92511626777457</v>
      </c>
      <c r="N33" s="42">
        <f t="shared" ca="1" si="59"/>
        <v>-131.16568001637921</v>
      </c>
      <c r="O33" s="42">
        <f t="shared" ca="1" si="59"/>
        <v>110.6397860798704</v>
      </c>
      <c r="P33" s="42">
        <f t="shared" ca="1" si="59"/>
        <v>-104.91405404506857</v>
      </c>
      <c r="Q33" s="42">
        <f t="shared" ca="1" si="59"/>
        <v>-83.545338493081672</v>
      </c>
    </row>
    <row r="34" spans="2:17" x14ac:dyDescent="0.2">
      <c r="B34" s="42">
        <f t="shared" ref="B34:Q34" ca="1" si="60">B53-180+(MOD($S$5,2)/2)/$S$5*360</f>
        <v>99.761959909716225</v>
      </c>
      <c r="C34" s="42">
        <f t="shared" ca="1" si="60"/>
        <v>100.27890931990684</v>
      </c>
      <c r="D34" s="42">
        <f t="shared" ca="1" si="60"/>
        <v>81.139793045940095</v>
      </c>
      <c r="E34" s="42">
        <f t="shared" ca="1" si="60"/>
        <v>-56.718704717296504</v>
      </c>
      <c r="F34" s="42">
        <f t="shared" ca="1" si="60"/>
        <v>71.671637651368982</v>
      </c>
      <c r="G34" s="42">
        <f t="shared" ca="1" si="60"/>
        <v>-136.31926150963247</v>
      </c>
      <c r="H34" s="42">
        <f t="shared" ca="1" si="60"/>
        <v>-88.215141463580537</v>
      </c>
      <c r="I34" s="42">
        <f t="shared" ca="1" si="60"/>
        <v>-101.88441728077309</v>
      </c>
      <c r="J34" s="42">
        <f t="shared" ca="1" si="60"/>
        <v>52.641498891938895</v>
      </c>
      <c r="K34" s="42">
        <f t="shared" ca="1" si="60"/>
        <v>-99.869954549240632</v>
      </c>
      <c r="L34" s="42">
        <f t="shared" ca="1" si="60"/>
        <v>103.38107476810295</v>
      </c>
      <c r="M34" s="42">
        <f t="shared" ca="1" si="60"/>
        <v>13.088149614502402</v>
      </c>
      <c r="N34" s="42">
        <f t="shared" ca="1" si="60"/>
        <v>184.94577662786139</v>
      </c>
      <c r="O34" s="42">
        <f t="shared" ca="1" si="60"/>
        <v>-51.386788837591268</v>
      </c>
      <c r="P34" s="42">
        <f t="shared" ca="1" si="60"/>
        <v>13.463743991523916</v>
      </c>
      <c r="Q34" s="42">
        <f t="shared" ca="1" si="60"/>
        <v>-106.33268667180361</v>
      </c>
    </row>
    <row r="35" spans="2:17" x14ac:dyDescent="0.2">
      <c r="B35" s="42">
        <f t="shared" ref="B35:Q35" ca="1" si="61">B54-180+(MOD($S$5,2)/2)/$S$5*360</f>
        <v>-126.98595972850596</v>
      </c>
      <c r="C35" s="42">
        <f t="shared" ca="1" si="61"/>
        <v>-109.98325862182982</v>
      </c>
      <c r="D35" s="42">
        <f t="shared" ca="1" si="61"/>
        <v>170.22462409318052</v>
      </c>
      <c r="E35" s="42">
        <f t="shared" ca="1" si="61"/>
        <v>-110.34580929832198</v>
      </c>
      <c r="F35" s="42">
        <f t="shared" ca="1" si="61"/>
        <v>124.84870880832902</v>
      </c>
      <c r="G35" s="42">
        <f t="shared" ca="1" si="61"/>
        <v>13.029904268790762</v>
      </c>
      <c r="H35" s="42">
        <f t="shared" ca="1" si="61"/>
        <v>39.691677961442096</v>
      </c>
      <c r="I35" s="42">
        <f t="shared" ca="1" si="61"/>
        <v>37.18080197220074</v>
      </c>
      <c r="J35" s="42">
        <f t="shared" ca="1" si="61"/>
        <v>-143.45408156498993</v>
      </c>
      <c r="K35" s="42">
        <f t="shared" ca="1" si="61"/>
        <v>119.78462695945295</v>
      </c>
      <c r="L35" s="42">
        <f t="shared" ca="1" si="61"/>
        <v>-23.264223425416741</v>
      </c>
      <c r="M35" s="42">
        <f t="shared" ca="1" si="61"/>
        <v>-42.116735949141997</v>
      </c>
      <c r="N35" s="42">
        <f t="shared" ca="1" si="61"/>
        <v>-65.927176475453294</v>
      </c>
      <c r="O35" s="42">
        <f t="shared" ca="1" si="61"/>
        <v>12.224602850459309</v>
      </c>
      <c r="P35" s="42">
        <f t="shared" ca="1" si="61"/>
        <v>-37.865660099088771</v>
      </c>
      <c r="Q35" s="42">
        <f t="shared" ca="1" si="61"/>
        <v>-57.234855436903516</v>
      </c>
    </row>
    <row r="36" spans="2:17" x14ac:dyDescent="0.2">
      <c r="B36" s="42">
        <f t="shared" ref="B36:Q36" ca="1" si="62">B55-180+(MOD($S$5,2)/2)/$S$5*360</f>
        <v>41.553929777469691</v>
      </c>
      <c r="C36" s="42">
        <f t="shared" ca="1" si="62"/>
        <v>-38.283784263654169</v>
      </c>
      <c r="D36" s="42">
        <f t="shared" ca="1" si="62"/>
        <v>139.78413361668868</v>
      </c>
      <c r="E36" s="42">
        <f t="shared" ca="1" si="62"/>
        <v>5.6744213338492564</v>
      </c>
      <c r="F36" s="42">
        <f t="shared" ca="1" si="62"/>
        <v>-125.46762661073267</v>
      </c>
      <c r="G36" s="42">
        <f t="shared" ca="1" si="62"/>
        <v>58.18048779071448</v>
      </c>
      <c r="H36" s="42">
        <f t="shared" ca="1" si="62"/>
        <v>152.62406920984057</v>
      </c>
      <c r="I36" s="42">
        <f t="shared" ca="1" si="62"/>
        <v>165.84723254553319</v>
      </c>
      <c r="J36" s="42">
        <f t="shared" ca="1" si="62"/>
        <v>146.20675368856666</v>
      </c>
      <c r="K36" s="42">
        <f t="shared" ca="1" si="62"/>
        <v>152.17395499976982</v>
      </c>
      <c r="L36" s="42">
        <f t="shared" ca="1" si="62"/>
        <v>79.34474606336606</v>
      </c>
      <c r="M36" s="42">
        <f t="shared" ca="1" si="62"/>
        <v>61.772019986656986</v>
      </c>
      <c r="N36" s="42">
        <f t="shared" ca="1" si="62"/>
        <v>-9.5919917128929733</v>
      </c>
      <c r="O36" s="42">
        <f t="shared" ca="1" si="62"/>
        <v>140.34426329095061</v>
      </c>
      <c r="P36" s="42">
        <f t="shared" ca="1" si="62"/>
        <v>-84.298779508834173</v>
      </c>
      <c r="Q36" s="42">
        <f t="shared" ca="1" si="62"/>
        <v>-144.48879531575196</v>
      </c>
    </row>
    <row r="37" spans="2:17" x14ac:dyDescent="0.2">
      <c r="B37" s="42">
        <f t="shared" ref="B37:Q37" ca="1" si="63">B56-180+(MOD($S$5,2)/2)/$S$5*360</f>
        <v>72.538894054439609</v>
      </c>
      <c r="C37" s="42">
        <f t="shared" ca="1" si="63"/>
        <v>-49.985315564750408</v>
      </c>
      <c r="D37" s="42">
        <f t="shared" ca="1" si="63"/>
        <v>-25.121358227301283</v>
      </c>
      <c r="E37" s="42">
        <f t="shared" ca="1" si="63"/>
        <v>166.77183708130337</v>
      </c>
      <c r="F37" s="42">
        <f t="shared" ca="1" si="63"/>
        <v>75.68559611491257</v>
      </c>
      <c r="G37" s="42">
        <f t="shared" ca="1" si="63"/>
        <v>33.072771528267069</v>
      </c>
      <c r="H37" s="42">
        <f t="shared" ca="1" si="63"/>
        <v>137.58946076284201</v>
      </c>
      <c r="I37" s="42">
        <f t="shared" ca="1" si="63"/>
        <v>-69.266212065234342</v>
      </c>
      <c r="J37" s="42">
        <f t="shared" ca="1" si="63"/>
        <v>75.420143373329424</v>
      </c>
      <c r="K37" s="42">
        <f t="shared" ca="1" si="63"/>
        <v>81.47935539678231</v>
      </c>
      <c r="L37" s="42">
        <f t="shared" ca="1" si="63"/>
        <v>-43.889086869791825</v>
      </c>
      <c r="M37" s="42">
        <f t="shared" ca="1" si="63"/>
        <v>-97.728598570811982</v>
      </c>
      <c r="N37" s="42">
        <f t="shared" ca="1" si="63"/>
        <v>-23.128898697546799</v>
      </c>
      <c r="O37" s="42">
        <f t="shared" ca="1" si="63"/>
        <v>-14.635066099353377</v>
      </c>
      <c r="P37" s="42">
        <f t="shared" ca="1" si="63"/>
        <v>18.992630935185549</v>
      </c>
      <c r="Q37" s="42">
        <f t="shared" ca="1" si="63"/>
        <v>122.08510784419836</v>
      </c>
    </row>
    <row r="38" spans="2:17" x14ac:dyDescent="0.2">
      <c r="B38" s="42">
        <f t="shared" ref="B38:Q38" ca="1" si="64">B57-180+(MOD($S$5,2)/2)/$S$5*360</f>
        <v>-51.435335515233945</v>
      </c>
      <c r="C38" s="42">
        <f t="shared" ca="1" si="64"/>
        <v>65.507678170597032</v>
      </c>
      <c r="D38" s="42">
        <f t="shared" ca="1" si="64"/>
        <v>44.81049152063899</v>
      </c>
      <c r="E38" s="42">
        <f t="shared" ca="1" si="64"/>
        <v>156.6952959287417</v>
      </c>
      <c r="F38" s="42">
        <f t="shared" ca="1" si="64"/>
        <v>-56.274048174964648</v>
      </c>
      <c r="G38" s="42">
        <f t="shared" ca="1" si="64"/>
        <v>16.738468436878509</v>
      </c>
      <c r="H38" s="42">
        <f t="shared" ca="1" si="64"/>
        <v>28.087511193536773</v>
      </c>
      <c r="I38" s="42">
        <f t="shared" ca="1" si="64"/>
        <v>-92.817798777365397</v>
      </c>
      <c r="J38" s="42">
        <f t="shared" ca="1" si="64"/>
        <v>186.19631069279086</v>
      </c>
      <c r="K38" s="42">
        <f t="shared" ca="1" si="64"/>
        <v>-51.079859064142312</v>
      </c>
      <c r="L38" s="42">
        <f t="shared" ca="1" si="64"/>
        <v>79.186172687118429</v>
      </c>
      <c r="M38" s="42">
        <f t="shared" ca="1" si="64"/>
        <v>-74.854328767765182</v>
      </c>
      <c r="N38" s="42">
        <f t="shared" ca="1" si="64"/>
        <v>-18.115299741046538</v>
      </c>
      <c r="O38" s="42">
        <f t="shared" ca="1" si="64"/>
        <v>41.635595183955459</v>
      </c>
      <c r="P38" s="42">
        <f t="shared" ca="1" si="64"/>
        <v>199.47564284798148</v>
      </c>
      <c r="Q38" s="42">
        <f t="shared" ca="1" si="64"/>
        <v>-15.608079334723282</v>
      </c>
    </row>
    <row r="39" spans="2:17" x14ac:dyDescent="0.2">
      <c r="B39" s="42">
        <f t="shared" ref="B39:Q39" ca="1" si="65">B58-180+(MOD($S$5,2)/2)/$S$5*360</f>
        <v>-85.753418397130417</v>
      </c>
      <c r="C39" s="42">
        <f t="shared" ca="1" si="65"/>
        <v>158.48662932953499</v>
      </c>
      <c r="D39" s="42">
        <f t="shared" ca="1" si="65"/>
        <v>23.547301948494795</v>
      </c>
      <c r="E39" s="42">
        <f t="shared" ca="1" si="65"/>
        <v>-32.433366230264753</v>
      </c>
      <c r="F39" s="42">
        <f t="shared" ca="1" si="65"/>
        <v>-70.401275005184161</v>
      </c>
      <c r="G39" s="42">
        <f t="shared" ca="1" si="65"/>
        <v>173.12235434452947</v>
      </c>
      <c r="H39" s="42">
        <f t="shared" ca="1" si="65"/>
        <v>101.68465912275214</v>
      </c>
      <c r="I39" s="42">
        <f t="shared" ca="1" si="65"/>
        <v>70.608029824022154</v>
      </c>
      <c r="J39" s="42">
        <f t="shared" ca="1" si="65"/>
        <v>179.60432956910165</v>
      </c>
      <c r="K39" s="42">
        <f t="shared" ca="1" si="65"/>
        <v>-9.821761815429408</v>
      </c>
      <c r="L39" s="42">
        <f t="shared" ca="1" si="65"/>
        <v>38.555142377656679</v>
      </c>
      <c r="M39" s="42">
        <f t="shared" ca="1" si="65"/>
        <v>-142.04393875841475</v>
      </c>
      <c r="N39" s="42">
        <f t="shared" ca="1" si="65"/>
        <v>-98.671783954981294</v>
      </c>
      <c r="O39" s="42">
        <f t="shared" ca="1" si="65"/>
        <v>-44.825875561183437</v>
      </c>
      <c r="P39" s="42">
        <f t="shared" ca="1" si="65"/>
        <v>-69.744583974551944</v>
      </c>
      <c r="Q39" s="42">
        <f t="shared" ca="1" si="65"/>
        <v>65.221039975209365</v>
      </c>
    </row>
    <row r="40" spans="2:17" x14ac:dyDescent="0.2">
      <c r="B40" s="42">
        <f t="shared" ref="B40:Q40" ca="1" si="66">B59-180+(MOD($S$5,2)/2)/$S$5*360</f>
        <v>-83.302386073405842</v>
      </c>
      <c r="C40" s="42">
        <f t="shared" ca="1" si="66"/>
        <v>203.70059866236056</v>
      </c>
      <c r="D40" s="42">
        <f t="shared" ca="1" si="66"/>
        <v>-36.046612547294217</v>
      </c>
      <c r="E40" s="42">
        <f t="shared" ca="1" si="66"/>
        <v>103.03066202721958</v>
      </c>
      <c r="F40" s="42">
        <f t="shared" ca="1" si="66"/>
        <v>141.00160972737922</v>
      </c>
      <c r="G40" s="42">
        <f t="shared" ca="1" si="66"/>
        <v>-49.343783085037728</v>
      </c>
      <c r="H40" s="42">
        <f t="shared" ca="1" si="66"/>
        <v>-117.37138423331528</v>
      </c>
      <c r="I40" s="42">
        <f t="shared" ca="1" si="66"/>
        <v>-4.088849196393749</v>
      </c>
      <c r="J40" s="42">
        <f t="shared" ca="1" si="66"/>
        <v>76.249798728184757</v>
      </c>
      <c r="K40" s="42">
        <f t="shared" ca="1" si="66"/>
        <v>104.73579298087184</v>
      </c>
      <c r="L40" s="42">
        <f t="shared" ca="1" si="66"/>
        <v>172.38515993110792</v>
      </c>
      <c r="M40" s="42">
        <f t="shared" ca="1" si="66"/>
        <v>193.00563385922811</v>
      </c>
      <c r="N40" s="42">
        <f t="shared" ca="1" si="66"/>
        <v>-58.810301546636964</v>
      </c>
      <c r="O40" s="42">
        <f t="shared" ca="1" si="66"/>
        <v>42.722223603659572</v>
      </c>
      <c r="P40" s="42">
        <f t="shared" ca="1" si="66"/>
        <v>184.02077419905328</v>
      </c>
      <c r="Q40" s="42">
        <f t="shared" ca="1" si="66"/>
        <v>30.605534010510514</v>
      </c>
    </row>
    <row r="41" spans="2:17" x14ac:dyDescent="0.2">
      <c r="B41" s="42">
        <f t="shared" ref="B41:P41" ca="1" si="67">B60-180+(MOD($S$5,2)/2)/$S$5*360</f>
        <v>7.172334904720902</v>
      </c>
      <c r="C41" s="42">
        <f t="shared" ca="1" si="67"/>
        <v>157.03518340444981</v>
      </c>
      <c r="D41" s="42">
        <f t="shared" ca="1" si="67"/>
        <v>72.135872520050995</v>
      </c>
      <c r="E41" s="42">
        <f t="shared" ca="1" si="67"/>
        <v>161.24376806059468</v>
      </c>
      <c r="F41" s="42">
        <f t="shared" ca="1" si="67"/>
        <v>-19.743181290103717</v>
      </c>
      <c r="G41" s="42">
        <f t="shared" ca="1" si="67"/>
        <v>79.532640330831597</v>
      </c>
      <c r="H41" s="42">
        <f t="shared" ca="1" si="67"/>
        <v>54.582139548625136</v>
      </c>
      <c r="I41" s="42">
        <f t="shared" ca="1" si="67"/>
        <v>37.491735733163452</v>
      </c>
      <c r="J41" s="42">
        <f t="shared" ca="1" si="67"/>
        <v>116.13636455431343</v>
      </c>
      <c r="K41" s="42">
        <f t="shared" ca="1" si="67"/>
        <v>-94.993237600805926</v>
      </c>
      <c r="L41" s="42">
        <f t="shared" ca="1" si="67"/>
        <v>-87.928510376335367</v>
      </c>
      <c r="M41" s="42">
        <f t="shared" ca="1" si="67"/>
        <v>-125.98778219099923</v>
      </c>
      <c r="N41" s="42">
        <f t="shared" ca="1" si="67"/>
        <v>30.440803469034922</v>
      </c>
      <c r="O41" s="42">
        <f t="shared" ca="1" si="67"/>
        <v>-135.93867838891506</v>
      </c>
      <c r="P41" s="42">
        <f t="shared" ca="1" si="67"/>
        <v>-0.23002042112328169</v>
      </c>
      <c r="Q41" s="42">
        <f ca="1">Q60-180+(MOD($S$5,2)/2)/$S$5*360</f>
        <v>-33.138774995509266</v>
      </c>
    </row>
    <row r="43" spans="2:17" x14ac:dyDescent="0.2">
      <c r="B43" s="45" t="s">
        <v>67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</row>
    <row r="44" spans="2:17" x14ac:dyDescent="0.2"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</row>
    <row r="45" spans="2:17" x14ac:dyDescent="0.2">
      <c r="B45" s="45">
        <f ca="1">RAND()*360</f>
        <v>173.60669355037601</v>
      </c>
      <c r="C45" s="45">
        <f t="shared" ref="C45:Q60" ca="1" si="68">RAND()*360</f>
        <v>253.74775294055905</v>
      </c>
      <c r="D45" s="45">
        <f t="shared" ca="1" si="68"/>
        <v>199.29134768518611</v>
      </c>
      <c r="E45" s="45">
        <f t="shared" ca="1" si="68"/>
        <v>91.52588349142701</v>
      </c>
      <c r="F45" s="45">
        <f t="shared" ca="1" si="68"/>
        <v>53.183051052455511</v>
      </c>
      <c r="G45" s="45">
        <f t="shared" ca="1" si="68"/>
        <v>63.427013092948101</v>
      </c>
      <c r="H45" s="45">
        <f t="shared" ca="1" si="68"/>
        <v>26.628288121381779</v>
      </c>
      <c r="I45" s="45">
        <f t="shared" ca="1" si="68"/>
        <v>52.799750065839255</v>
      </c>
      <c r="J45" s="45">
        <f t="shared" ca="1" si="68"/>
        <v>302.1278228967671</v>
      </c>
      <c r="K45" s="45">
        <f t="shared" ca="1" si="68"/>
        <v>106.60451266891155</v>
      </c>
      <c r="L45" s="45">
        <f t="shared" ca="1" si="68"/>
        <v>15.038852750018595</v>
      </c>
      <c r="M45" s="45">
        <f t="shared" ca="1" si="68"/>
        <v>22.055676596631322</v>
      </c>
      <c r="N45" s="45">
        <f t="shared" ca="1" si="68"/>
        <v>221.92648926477142</v>
      </c>
      <c r="O45" s="45">
        <f t="shared" ca="1" si="68"/>
        <v>236.16951648770043</v>
      </c>
      <c r="P45" s="45">
        <f t="shared" ca="1" si="68"/>
        <v>77.755143232672722</v>
      </c>
      <c r="Q45" s="45">
        <f t="shared" ca="1" si="68"/>
        <v>300.46358000330565</v>
      </c>
    </row>
    <row r="46" spans="2:17" x14ac:dyDescent="0.2">
      <c r="B46" s="45">
        <f t="shared" ref="B46:B60" ca="1" si="69">RAND()*360</f>
        <v>80.560446528844281</v>
      </c>
      <c r="C46" s="45">
        <f t="shared" ca="1" si="68"/>
        <v>23.808146268206563</v>
      </c>
      <c r="D46" s="45">
        <f t="shared" ca="1" si="68"/>
        <v>347.54061263000756</v>
      </c>
      <c r="E46" s="45">
        <f t="shared" ca="1" si="68"/>
        <v>317.00875215243104</v>
      </c>
      <c r="F46" s="45">
        <f t="shared" ca="1" si="68"/>
        <v>86.414877447873565</v>
      </c>
      <c r="G46" s="45">
        <f t="shared" ca="1" si="68"/>
        <v>278.69439925361991</v>
      </c>
      <c r="H46" s="45">
        <f t="shared" ca="1" si="68"/>
        <v>263.65864414335425</v>
      </c>
      <c r="I46" s="45">
        <f t="shared" ca="1" si="68"/>
        <v>116.11451719194228</v>
      </c>
      <c r="J46" s="45">
        <f t="shared" ca="1" si="68"/>
        <v>128.44301241465263</v>
      </c>
      <c r="K46" s="45">
        <f t="shared" ca="1" si="68"/>
        <v>247.19193656232244</v>
      </c>
      <c r="L46" s="45">
        <f t="shared" ca="1" si="68"/>
        <v>190.64818204324814</v>
      </c>
      <c r="M46" s="45">
        <f t="shared" ca="1" si="68"/>
        <v>34.788518107412138</v>
      </c>
      <c r="N46" s="45">
        <f t="shared" ca="1" si="68"/>
        <v>220.96776557464281</v>
      </c>
      <c r="O46" s="45">
        <f t="shared" ca="1" si="68"/>
        <v>348.78279434431761</v>
      </c>
      <c r="P46" s="45">
        <f t="shared" ca="1" si="68"/>
        <v>288.21250389047481</v>
      </c>
      <c r="Q46" s="45">
        <f t="shared" ca="1" si="68"/>
        <v>339.73152579853496</v>
      </c>
    </row>
    <row r="47" spans="2:17" x14ac:dyDescent="0.2">
      <c r="B47" s="45">
        <f t="shared" ca="1" si="69"/>
        <v>18.689038179538066</v>
      </c>
      <c r="C47" s="45">
        <f t="shared" ca="1" si="68"/>
        <v>42.213986669930883</v>
      </c>
      <c r="D47" s="45">
        <f t="shared" ca="1" si="68"/>
        <v>80.667937925887799</v>
      </c>
      <c r="E47" s="45">
        <f t="shared" ca="1" si="68"/>
        <v>193.97388752111303</v>
      </c>
      <c r="F47" s="45">
        <f t="shared" ca="1" si="68"/>
        <v>58.89502751682388</v>
      </c>
      <c r="G47" s="45">
        <f t="shared" ca="1" si="68"/>
        <v>122.73427704483753</v>
      </c>
      <c r="H47" s="45">
        <f t="shared" ca="1" si="68"/>
        <v>218.0808154487269</v>
      </c>
      <c r="I47" s="45">
        <f t="shared" ca="1" si="68"/>
        <v>301.48002232870903</v>
      </c>
      <c r="J47" s="45">
        <f t="shared" ca="1" si="68"/>
        <v>276.80254495361129</v>
      </c>
      <c r="K47" s="45">
        <f t="shared" ca="1" si="68"/>
        <v>80.083211871985057</v>
      </c>
      <c r="L47" s="45">
        <f t="shared" ca="1" si="68"/>
        <v>153.41985102291409</v>
      </c>
      <c r="M47" s="45">
        <f t="shared" ca="1" si="68"/>
        <v>322.97459547225458</v>
      </c>
      <c r="N47" s="45">
        <f t="shared" ca="1" si="68"/>
        <v>301.06098991059935</v>
      </c>
      <c r="O47" s="45">
        <f t="shared" ca="1" si="68"/>
        <v>2.65399754389676</v>
      </c>
      <c r="P47" s="45">
        <f t="shared" ca="1" si="68"/>
        <v>349.33839914228554</v>
      </c>
      <c r="Q47" s="45">
        <f t="shared" ca="1" si="68"/>
        <v>102.46198919917072</v>
      </c>
    </row>
    <row r="48" spans="2:17" x14ac:dyDescent="0.2">
      <c r="B48" s="45">
        <f t="shared" ca="1" si="69"/>
        <v>123.61999205542384</v>
      </c>
      <c r="C48" s="45">
        <f t="shared" ca="1" si="68"/>
        <v>246.80707396556258</v>
      </c>
      <c r="D48" s="45">
        <f t="shared" ca="1" si="68"/>
        <v>283.48614580094835</v>
      </c>
      <c r="E48" s="45">
        <f t="shared" ca="1" si="68"/>
        <v>11.490310192491586</v>
      </c>
      <c r="F48" s="45">
        <f t="shared" ca="1" si="68"/>
        <v>68.628340965938236</v>
      </c>
      <c r="G48" s="45">
        <f t="shared" ca="1" si="68"/>
        <v>55.058442711335857</v>
      </c>
      <c r="H48" s="45">
        <f t="shared" ca="1" si="68"/>
        <v>239.54216711871257</v>
      </c>
      <c r="I48" s="45">
        <f t="shared" ca="1" si="68"/>
        <v>199.3667359448749</v>
      </c>
      <c r="J48" s="45">
        <f t="shared" ca="1" si="68"/>
        <v>212.71956789019131</v>
      </c>
      <c r="K48" s="45">
        <f t="shared" ca="1" si="68"/>
        <v>259.75335678897341</v>
      </c>
      <c r="L48" s="45">
        <f t="shared" ca="1" si="68"/>
        <v>141.25832705784998</v>
      </c>
      <c r="M48" s="45">
        <f t="shared" ca="1" si="68"/>
        <v>138.71707245536672</v>
      </c>
      <c r="N48" s="45">
        <f t="shared" ca="1" si="68"/>
        <v>117.27636805785339</v>
      </c>
      <c r="O48" s="45">
        <f t="shared" ca="1" si="68"/>
        <v>86.736440739782751</v>
      </c>
      <c r="P48" s="45">
        <f t="shared" ca="1" si="68"/>
        <v>252.83308763595704</v>
      </c>
      <c r="Q48" s="45">
        <f t="shared" ca="1" si="68"/>
        <v>187.15467824579846</v>
      </c>
    </row>
    <row r="49" spans="2:17" x14ac:dyDescent="0.2">
      <c r="B49" s="45">
        <f t="shared" ca="1" si="69"/>
        <v>13.706914017160781</v>
      </c>
      <c r="C49" s="45">
        <f t="shared" ca="1" si="68"/>
        <v>331.24759084495787</v>
      </c>
      <c r="D49" s="45">
        <f t="shared" ca="1" si="68"/>
        <v>133.34984211137902</v>
      </c>
      <c r="E49" s="45">
        <f t="shared" ca="1" si="68"/>
        <v>122.61278876859062</v>
      </c>
      <c r="F49" s="45">
        <f t="shared" ca="1" si="68"/>
        <v>95.231413992959844</v>
      </c>
      <c r="G49" s="45">
        <f t="shared" ca="1" si="68"/>
        <v>349.47760138968886</v>
      </c>
      <c r="H49" s="45">
        <f t="shared" ca="1" si="68"/>
        <v>147.7268327143789</v>
      </c>
      <c r="I49" s="45">
        <f t="shared" ca="1" si="68"/>
        <v>176.97661085422155</v>
      </c>
      <c r="J49" s="45">
        <f t="shared" ca="1" si="68"/>
        <v>212.90323532227504</v>
      </c>
      <c r="K49" s="45">
        <f t="shared" ca="1" si="68"/>
        <v>100.676985686173</v>
      </c>
      <c r="L49" s="45">
        <f t="shared" ca="1" si="68"/>
        <v>197.85864228150183</v>
      </c>
      <c r="M49" s="45">
        <f t="shared" ca="1" si="68"/>
        <v>182.48744837844319</v>
      </c>
      <c r="N49" s="45">
        <f t="shared" ca="1" si="68"/>
        <v>300.98583059960731</v>
      </c>
      <c r="O49" s="45">
        <f t="shared" ca="1" si="68"/>
        <v>329.01497355838291</v>
      </c>
      <c r="P49" s="45">
        <f t="shared" ca="1" si="68"/>
        <v>274.12193789991397</v>
      </c>
      <c r="Q49" s="45">
        <f t="shared" ca="1" si="68"/>
        <v>295.04102826742292</v>
      </c>
    </row>
    <row r="50" spans="2:17" x14ac:dyDescent="0.2">
      <c r="B50" s="45">
        <f t="shared" ca="1" si="69"/>
        <v>74.233631511463713</v>
      </c>
      <c r="C50" s="45">
        <f t="shared" ca="1" si="68"/>
        <v>79.727088757151634</v>
      </c>
      <c r="D50" s="45">
        <f t="shared" ca="1" si="68"/>
        <v>268.60573470612849</v>
      </c>
      <c r="E50" s="45">
        <f t="shared" ca="1" si="68"/>
        <v>315.53476587348678</v>
      </c>
      <c r="F50" s="45">
        <f t="shared" ca="1" si="68"/>
        <v>309.61928115888645</v>
      </c>
      <c r="G50" s="45">
        <f t="shared" ca="1" si="68"/>
        <v>258.0421873610502</v>
      </c>
      <c r="H50" s="45">
        <f t="shared" ca="1" si="68"/>
        <v>296.26251903753405</v>
      </c>
      <c r="I50" s="45">
        <f t="shared" ca="1" si="68"/>
        <v>239.58105914037938</v>
      </c>
      <c r="J50" s="45">
        <f t="shared" ca="1" si="68"/>
        <v>87.944569437158904</v>
      </c>
      <c r="K50" s="45">
        <f t="shared" ca="1" si="68"/>
        <v>271.95253521142672</v>
      </c>
      <c r="L50" s="45">
        <f t="shared" ca="1" si="68"/>
        <v>59.532207745944007</v>
      </c>
      <c r="M50" s="45">
        <f t="shared" ca="1" si="68"/>
        <v>157.29309977233615</v>
      </c>
      <c r="N50" s="45">
        <f t="shared" ca="1" si="68"/>
        <v>58.913095644253339</v>
      </c>
      <c r="O50" s="45">
        <f t="shared" ca="1" si="68"/>
        <v>310.54174801322534</v>
      </c>
      <c r="P50" s="45">
        <f t="shared" ca="1" si="68"/>
        <v>91.366041969580522</v>
      </c>
      <c r="Q50" s="45">
        <f t="shared" ca="1" si="68"/>
        <v>84.863285107435502</v>
      </c>
    </row>
    <row r="51" spans="2:17" x14ac:dyDescent="0.2">
      <c r="B51" s="45">
        <f t="shared" ca="1" si="69"/>
        <v>269.39969452475992</v>
      </c>
      <c r="C51" s="45">
        <f t="shared" ca="1" si="68"/>
        <v>208.90628610533918</v>
      </c>
      <c r="D51" s="45">
        <f t="shared" ca="1" si="68"/>
        <v>257.83632487098322</v>
      </c>
      <c r="E51" s="45">
        <f t="shared" ca="1" si="68"/>
        <v>240.99323722361157</v>
      </c>
      <c r="F51" s="45">
        <f t="shared" ca="1" si="68"/>
        <v>316.1217696335865</v>
      </c>
      <c r="G51" s="45">
        <f t="shared" ca="1" si="68"/>
        <v>14.444788370489952</v>
      </c>
      <c r="H51" s="45">
        <f t="shared" ca="1" si="68"/>
        <v>64.073364514493079</v>
      </c>
      <c r="I51" s="45">
        <f t="shared" ca="1" si="68"/>
        <v>10.499557756058216</v>
      </c>
      <c r="J51" s="45">
        <f t="shared" ca="1" si="68"/>
        <v>286.70870806044013</v>
      </c>
      <c r="K51" s="45">
        <f t="shared" ca="1" si="68"/>
        <v>254.76933097251205</v>
      </c>
      <c r="L51" s="45">
        <f t="shared" ca="1" si="68"/>
        <v>183.77318446459486</v>
      </c>
      <c r="M51" s="45">
        <f t="shared" ca="1" si="68"/>
        <v>249.62638322105727</v>
      </c>
      <c r="N51" s="45">
        <f t="shared" ca="1" si="68"/>
        <v>204.49978121037194</v>
      </c>
      <c r="O51" s="45">
        <f t="shared" ca="1" si="68"/>
        <v>317.1210680640624</v>
      </c>
      <c r="P51" s="45">
        <f t="shared" ca="1" si="68"/>
        <v>148.85006160483343</v>
      </c>
      <c r="Q51" s="45">
        <f t="shared" ca="1" si="68"/>
        <v>75.279678764776634</v>
      </c>
    </row>
    <row r="52" spans="2:17" x14ac:dyDescent="0.2">
      <c r="B52" s="45">
        <f t="shared" ca="1" si="69"/>
        <v>314.74214311549758</v>
      </c>
      <c r="C52" s="45">
        <f t="shared" ca="1" si="68"/>
        <v>96.497603007051282</v>
      </c>
      <c r="D52" s="45">
        <f t="shared" ca="1" si="68"/>
        <v>313.33701621598226</v>
      </c>
      <c r="E52" s="45">
        <f t="shared" ca="1" si="68"/>
        <v>251.17812910595268</v>
      </c>
      <c r="F52" s="45">
        <f t="shared" ca="1" si="68"/>
        <v>120.89523103436065</v>
      </c>
      <c r="G52" s="45">
        <f t="shared" ca="1" si="68"/>
        <v>224.52002790030929</v>
      </c>
      <c r="H52" s="45">
        <f t="shared" ca="1" si="68"/>
        <v>205.6834649459594</v>
      </c>
      <c r="I52" s="45">
        <f t="shared" ca="1" si="68"/>
        <v>292.42711910474441</v>
      </c>
      <c r="J52" s="45">
        <f t="shared" ca="1" si="68"/>
        <v>287.28031565211552</v>
      </c>
      <c r="K52" s="45">
        <f t="shared" ca="1" si="68"/>
        <v>26.837729598472713</v>
      </c>
      <c r="L52" s="45">
        <f t="shared" ca="1" si="68"/>
        <v>123.25367138590985</v>
      </c>
      <c r="M52" s="45">
        <f t="shared" ca="1" si="68"/>
        <v>296.21083055348885</v>
      </c>
      <c r="N52" s="45">
        <f t="shared" ca="1" si="68"/>
        <v>23.120034269335076</v>
      </c>
      <c r="O52" s="45">
        <f t="shared" ca="1" si="68"/>
        <v>264.9255003655847</v>
      </c>
      <c r="P52" s="45">
        <f t="shared" ca="1" si="68"/>
        <v>49.371660240645731</v>
      </c>
      <c r="Q52" s="45">
        <f t="shared" ca="1" si="68"/>
        <v>70.740375792632619</v>
      </c>
    </row>
    <row r="53" spans="2:17" x14ac:dyDescent="0.2">
      <c r="B53" s="45">
        <f t="shared" ca="1" si="69"/>
        <v>254.04767419543052</v>
      </c>
      <c r="C53" s="45">
        <f t="shared" ca="1" si="68"/>
        <v>254.56462360562114</v>
      </c>
      <c r="D53" s="45">
        <f t="shared" ca="1" si="68"/>
        <v>235.42550733165439</v>
      </c>
      <c r="E53" s="45">
        <f t="shared" ca="1" si="68"/>
        <v>97.567009568417788</v>
      </c>
      <c r="F53" s="45">
        <f t="shared" ca="1" si="68"/>
        <v>225.95735193708327</v>
      </c>
      <c r="G53" s="45">
        <f t="shared" ca="1" si="68"/>
        <v>17.96645277608182</v>
      </c>
      <c r="H53" s="45">
        <f t="shared" ca="1" si="68"/>
        <v>66.070572822133755</v>
      </c>
      <c r="I53" s="45">
        <f t="shared" ca="1" si="68"/>
        <v>52.401297004941206</v>
      </c>
      <c r="J53" s="45">
        <f t="shared" ca="1" si="68"/>
        <v>206.92721317765319</v>
      </c>
      <c r="K53" s="45">
        <f t="shared" ca="1" si="68"/>
        <v>54.41575973647366</v>
      </c>
      <c r="L53" s="45">
        <f t="shared" ca="1" si="68"/>
        <v>257.66678905381724</v>
      </c>
      <c r="M53" s="45">
        <f t="shared" ca="1" si="68"/>
        <v>167.37386390021669</v>
      </c>
      <c r="N53" s="45">
        <f t="shared" ca="1" si="68"/>
        <v>339.23149091357567</v>
      </c>
      <c r="O53" s="45">
        <f t="shared" ca="1" si="68"/>
        <v>102.89892544812302</v>
      </c>
      <c r="P53" s="45">
        <f t="shared" ca="1" si="68"/>
        <v>167.7494582772382</v>
      </c>
      <c r="Q53" s="45">
        <f t="shared" ca="1" si="68"/>
        <v>47.953027613910677</v>
      </c>
    </row>
    <row r="54" spans="2:17" x14ac:dyDescent="0.2">
      <c r="B54" s="45">
        <f t="shared" ca="1" si="69"/>
        <v>27.299754557208338</v>
      </c>
      <c r="C54" s="45">
        <f t="shared" ca="1" si="68"/>
        <v>44.302455663884487</v>
      </c>
      <c r="D54" s="45">
        <f t="shared" ca="1" si="68"/>
        <v>324.5103383788948</v>
      </c>
      <c r="E54" s="45">
        <f t="shared" ca="1" si="68"/>
        <v>43.93990498739231</v>
      </c>
      <c r="F54" s="45">
        <f t="shared" ca="1" si="68"/>
        <v>279.13442309404331</v>
      </c>
      <c r="G54" s="45">
        <f t="shared" ca="1" si="68"/>
        <v>167.31561855450505</v>
      </c>
      <c r="H54" s="45">
        <f t="shared" ca="1" si="68"/>
        <v>193.97739224715639</v>
      </c>
      <c r="I54" s="45">
        <f t="shared" ca="1" si="68"/>
        <v>191.46651625791503</v>
      </c>
      <c r="J54" s="45">
        <f t="shared" ca="1" si="68"/>
        <v>10.831632720724347</v>
      </c>
      <c r="K54" s="45">
        <f t="shared" ca="1" si="68"/>
        <v>274.07034124516724</v>
      </c>
      <c r="L54" s="45">
        <f t="shared" ca="1" si="68"/>
        <v>131.02149086029755</v>
      </c>
      <c r="M54" s="45">
        <f t="shared" ca="1" si="68"/>
        <v>112.16897833657229</v>
      </c>
      <c r="N54" s="45">
        <f t="shared" ca="1" si="68"/>
        <v>88.358537810260998</v>
      </c>
      <c r="O54" s="45">
        <f t="shared" ca="1" si="68"/>
        <v>166.5103171361736</v>
      </c>
      <c r="P54" s="45">
        <f t="shared" ca="1" si="68"/>
        <v>116.42005418662552</v>
      </c>
      <c r="Q54" s="45">
        <f t="shared" ca="1" si="68"/>
        <v>97.050858848810776</v>
      </c>
    </row>
    <row r="55" spans="2:17" x14ac:dyDescent="0.2">
      <c r="B55" s="45">
        <f t="shared" ca="1" si="69"/>
        <v>195.83964406318398</v>
      </c>
      <c r="C55" s="45">
        <f t="shared" ca="1" si="68"/>
        <v>116.00193002206012</v>
      </c>
      <c r="D55" s="45">
        <f t="shared" ca="1" si="68"/>
        <v>294.06984790240296</v>
      </c>
      <c r="E55" s="45">
        <f t="shared" ca="1" si="68"/>
        <v>159.96013561956354</v>
      </c>
      <c r="F55" s="45">
        <f t="shared" ca="1" si="68"/>
        <v>28.818087674981619</v>
      </c>
      <c r="G55" s="45">
        <f t="shared" ca="1" si="68"/>
        <v>212.46620207642877</v>
      </c>
      <c r="H55" s="45">
        <f t="shared" ca="1" si="68"/>
        <v>306.90978349555485</v>
      </c>
      <c r="I55" s="45">
        <f t="shared" ca="1" si="68"/>
        <v>320.13294683124747</v>
      </c>
      <c r="J55" s="45">
        <f t="shared" ca="1" si="68"/>
        <v>300.49246797428094</v>
      </c>
      <c r="K55" s="45">
        <f t="shared" ca="1" si="68"/>
        <v>306.4596692854841</v>
      </c>
      <c r="L55" s="45">
        <f t="shared" ca="1" si="68"/>
        <v>233.63046034908035</v>
      </c>
      <c r="M55" s="45">
        <f t="shared" ca="1" si="68"/>
        <v>216.05773427237128</v>
      </c>
      <c r="N55" s="45">
        <f t="shared" ca="1" si="68"/>
        <v>144.69372257282131</v>
      </c>
      <c r="O55" s="45">
        <f t="shared" ca="1" si="68"/>
        <v>294.62997757666488</v>
      </c>
      <c r="P55" s="45">
        <f t="shared" ca="1" si="68"/>
        <v>69.986934776880119</v>
      </c>
      <c r="Q55" s="45">
        <f t="shared" ca="1" si="68"/>
        <v>9.7969189699623129</v>
      </c>
    </row>
    <row r="56" spans="2:17" x14ac:dyDescent="0.2">
      <c r="B56" s="45">
        <f t="shared" ca="1" si="69"/>
        <v>226.8246083401539</v>
      </c>
      <c r="C56" s="45">
        <f t="shared" ca="1" si="68"/>
        <v>104.30039872096388</v>
      </c>
      <c r="D56" s="45">
        <f t="shared" ca="1" si="68"/>
        <v>129.16435605841301</v>
      </c>
      <c r="E56" s="45">
        <f t="shared" ca="1" si="68"/>
        <v>321.05755136701765</v>
      </c>
      <c r="F56" s="45">
        <f t="shared" ca="1" si="68"/>
        <v>229.97131040062686</v>
      </c>
      <c r="G56" s="45">
        <f t="shared" ca="1" si="68"/>
        <v>187.35848581398136</v>
      </c>
      <c r="H56" s="45">
        <f t="shared" ca="1" si="68"/>
        <v>291.87517504855629</v>
      </c>
      <c r="I56" s="45">
        <f t="shared" ca="1" si="68"/>
        <v>85.01950222047995</v>
      </c>
      <c r="J56" s="45">
        <f t="shared" ca="1" si="68"/>
        <v>229.70585765904372</v>
      </c>
      <c r="K56" s="45">
        <f t="shared" ca="1" si="68"/>
        <v>235.7650696824966</v>
      </c>
      <c r="L56" s="45">
        <f t="shared" ca="1" si="68"/>
        <v>110.39662741592247</v>
      </c>
      <c r="M56" s="45">
        <f t="shared" ca="1" si="68"/>
        <v>56.557115714902309</v>
      </c>
      <c r="N56" s="45">
        <f t="shared" ca="1" si="68"/>
        <v>131.15681558816749</v>
      </c>
      <c r="O56" s="45">
        <f t="shared" ca="1" si="68"/>
        <v>139.65064818636091</v>
      </c>
      <c r="P56" s="45">
        <f t="shared" ca="1" si="68"/>
        <v>173.27834522089984</v>
      </c>
      <c r="Q56" s="45">
        <f t="shared" ca="1" si="68"/>
        <v>276.37082212991265</v>
      </c>
    </row>
    <row r="57" spans="2:17" x14ac:dyDescent="0.2">
      <c r="B57" s="45">
        <f t="shared" ca="1" si="69"/>
        <v>102.85037877048035</v>
      </c>
      <c r="C57" s="45">
        <f t="shared" ca="1" si="68"/>
        <v>219.79339245631132</v>
      </c>
      <c r="D57" s="45">
        <f t="shared" ca="1" si="68"/>
        <v>199.09620580635328</v>
      </c>
      <c r="E57" s="45">
        <f t="shared" ca="1" si="68"/>
        <v>310.98101021445598</v>
      </c>
      <c r="F57" s="45">
        <f t="shared" ca="1" si="68"/>
        <v>98.011666110749644</v>
      </c>
      <c r="G57" s="45">
        <f t="shared" ca="1" si="68"/>
        <v>171.0241827225928</v>
      </c>
      <c r="H57" s="45">
        <f t="shared" ca="1" si="68"/>
        <v>182.37322547925106</v>
      </c>
      <c r="I57" s="45">
        <f t="shared" ca="1" si="68"/>
        <v>61.467915508348895</v>
      </c>
      <c r="J57" s="45">
        <f t="shared" ca="1" si="68"/>
        <v>340.48202497850514</v>
      </c>
      <c r="K57" s="45">
        <f t="shared" ca="1" si="68"/>
        <v>103.20585522157198</v>
      </c>
      <c r="L57" s="45">
        <f t="shared" ca="1" si="68"/>
        <v>233.47188697283272</v>
      </c>
      <c r="M57" s="45">
        <f t="shared" ca="1" si="68"/>
        <v>79.43138551794911</v>
      </c>
      <c r="N57" s="45">
        <f t="shared" ca="1" si="68"/>
        <v>136.17041454466775</v>
      </c>
      <c r="O57" s="45">
        <f t="shared" ca="1" si="68"/>
        <v>195.92130946966975</v>
      </c>
      <c r="P57" s="45">
        <f t="shared" ca="1" si="68"/>
        <v>353.76135713369575</v>
      </c>
      <c r="Q57" s="45">
        <f t="shared" ca="1" si="68"/>
        <v>138.67763495099101</v>
      </c>
    </row>
    <row r="58" spans="2:17" x14ac:dyDescent="0.2">
      <c r="B58" s="45">
        <f t="shared" ca="1" si="69"/>
        <v>68.532295888583874</v>
      </c>
      <c r="C58" s="45">
        <f t="shared" ca="1" si="68"/>
        <v>312.77234361524927</v>
      </c>
      <c r="D58" s="45">
        <f t="shared" ca="1" si="68"/>
        <v>177.83301623420908</v>
      </c>
      <c r="E58" s="45">
        <f t="shared" ca="1" si="68"/>
        <v>121.85234805544954</v>
      </c>
      <c r="F58" s="45">
        <f t="shared" ca="1" si="68"/>
        <v>83.884439280530131</v>
      </c>
      <c r="G58" s="45">
        <f t="shared" ca="1" si="68"/>
        <v>327.40806863024375</v>
      </c>
      <c r="H58" s="45">
        <f t="shared" ca="1" si="68"/>
        <v>255.97037340846643</v>
      </c>
      <c r="I58" s="45">
        <f t="shared" ca="1" si="68"/>
        <v>224.89374410973645</v>
      </c>
      <c r="J58" s="45">
        <f t="shared" ca="1" si="68"/>
        <v>333.89004385481593</v>
      </c>
      <c r="K58" s="45">
        <f t="shared" ca="1" si="68"/>
        <v>144.46395247028488</v>
      </c>
      <c r="L58" s="45">
        <f t="shared" ca="1" si="68"/>
        <v>192.84085666337097</v>
      </c>
      <c r="M58" s="45">
        <f t="shared" ca="1" si="68"/>
        <v>12.241775527299517</v>
      </c>
      <c r="N58" s="45">
        <f t="shared" ca="1" si="68"/>
        <v>55.613930330732998</v>
      </c>
      <c r="O58" s="45">
        <f t="shared" ca="1" si="68"/>
        <v>109.45983872453085</v>
      </c>
      <c r="P58" s="45">
        <f t="shared" ca="1" si="68"/>
        <v>84.541130311162348</v>
      </c>
      <c r="Q58" s="45">
        <f t="shared" ca="1" si="68"/>
        <v>219.50675426092366</v>
      </c>
    </row>
    <row r="59" spans="2:17" x14ac:dyDescent="0.2">
      <c r="B59" s="45">
        <f t="shared" ca="1" si="69"/>
        <v>70.98332821230845</v>
      </c>
      <c r="C59" s="45">
        <f t="shared" ca="1" si="68"/>
        <v>357.98631294807484</v>
      </c>
      <c r="D59" s="45">
        <f t="shared" ca="1" si="68"/>
        <v>118.23910173842008</v>
      </c>
      <c r="E59" s="45">
        <f t="shared" ca="1" si="68"/>
        <v>257.31637631293387</v>
      </c>
      <c r="F59" s="45">
        <f t="shared" ca="1" si="68"/>
        <v>295.2873240130935</v>
      </c>
      <c r="G59" s="45">
        <f t="shared" ca="1" si="68"/>
        <v>104.94193120067656</v>
      </c>
      <c r="H59" s="45">
        <f t="shared" ca="1" si="68"/>
        <v>36.914330052398995</v>
      </c>
      <c r="I59" s="45">
        <f t="shared" ca="1" si="68"/>
        <v>150.19686508932054</v>
      </c>
      <c r="J59" s="45">
        <f t="shared" ca="1" si="68"/>
        <v>230.53551301389905</v>
      </c>
      <c r="K59" s="45">
        <f t="shared" ca="1" si="68"/>
        <v>259.02150726658613</v>
      </c>
      <c r="L59" s="45">
        <f t="shared" ca="1" si="68"/>
        <v>326.6708742168222</v>
      </c>
      <c r="M59" s="45">
        <f t="shared" ca="1" si="68"/>
        <v>347.29134814494239</v>
      </c>
      <c r="N59" s="45">
        <f t="shared" ca="1" si="68"/>
        <v>95.475412739077328</v>
      </c>
      <c r="O59" s="45">
        <f t="shared" ca="1" si="68"/>
        <v>197.00793788937386</v>
      </c>
      <c r="P59" s="45">
        <f t="shared" ca="1" si="68"/>
        <v>338.30648848476756</v>
      </c>
      <c r="Q59" s="45">
        <f t="shared" ca="1" si="68"/>
        <v>184.8912482962248</v>
      </c>
    </row>
    <row r="60" spans="2:17" x14ac:dyDescent="0.2">
      <c r="B60" s="45">
        <f t="shared" ca="1" si="69"/>
        <v>161.45804919043519</v>
      </c>
      <c r="C60" s="45">
        <f t="shared" ca="1" si="68"/>
        <v>311.32089769016409</v>
      </c>
      <c r="D60" s="45">
        <f t="shared" ca="1" si="68"/>
        <v>226.42158680576529</v>
      </c>
      <c r="E60" s="45">
        <f t="shared" ca="1" si="68"/>
        <v>315.52948234630895</v>
      </c>
      <c r="F60" s="45">
        <f t="shared" ca="1" si="68"/>
        <v>134.54253299561057</v>
      </c>
      <c r="G60" s="45">
        <f t="shared" ca="1" si="68"/>
        <v>233.81835461654589</v>
      </c>
      <c r="H60" s="45">
        <f t="shared" ca="1" si="68"/>
        <v>208.86785383433943</v>
      </c>
      <c r="I60" s="45">
        <f t="shared" ca="1" si="68"/>
        <v>191.77745001887774</v>
      </c>
      <c r="J60" s="45">
        <f t="shared" ca="1" si="68"/>
        <v>270.42207884002772</v>
      </c>
      <c r="K60" s="45">
        <f t="shared" ca="1" si="68"/>
        <v>59.292476684908372</v>
      </c>
      <c r="L60" s="45">
        <f t="shared" ca="1" si="68"/>
        <v>66.357203909378924</v>
      </c>
      <c r="M60" s="45">
        <f t="shared" ca="1" si="68"/>
        <v>28.297932094715058</v>
      </c>
      <c r="N60" s="45">
        <f t="shared" ca="1" si="68"/>
        <v>184.72651775474921</v>
      </c>
      <c r="O60" s="45">
        <f t="shared" ca="1" si="68"/>
        <v>18.347035896799223</v>
      </c>
      <c r="P60" s="45">
        <f t="shared" ca="1" si="68"/>
        <v>154.05569386459101</v>
      </c>
      <c r="Q60" s="45">
        <f t="shared" ca="1" si="68"/>
        <v>121.14693929020503</v>
      </c>
    </row>
  </sheetData>
  <mergeCells count="2">
    <mergeCell ref="T4:U4"/>
    <mergeCell ref="R1:AL2"/>
  </mergeCells>
  <phoneticPr fontId="1" type="noConversion"/>
  <dataValidations count="1">
    <dataValidation type="whole" operator="greaterThanOrEqual" showInputMessage="1" showErrorMessage="1" sqref="S5" xr:uid="{79B8B1F1-7DCE-4297-9E99-BE7546EEC8EB}">
      <formula1>1</formula1>
    </dataValidation>
  </dataValidations>
  <pageMargins left="0.7" right="0.7" top="0.75" bottom="0.75" header="0.3" footer="0.3"/>
  <pageSetup paperSize="256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Basics of Holography</vt:lpstr>
      <vt:lpstr>Introduction to Modern Digital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谢尘竹</dc:creator>
  <cp:lastModifiedBy>谢尘竹</cp:lastModifiedBy>
  <dcterms:created xsi:type="dcterms:W3CDTF">2015-06-05T18:19:34Z</dcterms:created>
  <dcterms:modified xsi:type="dcterms:W3CDTF">2020-12-01T07:46:43Z</dcterms:modified>
</cp:coreProperties>
</file>